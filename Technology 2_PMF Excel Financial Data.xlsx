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Ex1.xml" ContentType="application/vnd.ms-office.chartex+xml"/>
  <Override PartName="/xl/charts/style47.xml" ContentType="application/vnd.ms-office.chartstyle+xml"/>
  <Override PartName="/xl/charts/colors47.xml" ContentType="application/vnd.ms-office.chartcolorstyle+xml"/>
  <Override PartName="/xl/charts/chart47.xml" ContentType="application/vnd.openxmlformats-officedocument.drawingml.chart+xml"/>
  <Override PartName="/xl/charts/style48.xml" ContentType="application/vnd.ms-office.chartstyle+xml"/>
  <Override PartName="/xl/charts/colors48.xml" ContentType="application/vnd.ms-office.chartcolorstyle+xml"/>
  <Override PartName="/xl/charts/chart48.xml" ContentType="application/vnd.openxmlformats-officedocument.drawingml.chart+xml"/>
  <Override PartName="/xl/charts/style49.xml" ContentType="application/vnd.ms-office.chartstyle+xml"/>
  <Override PartName="/xl/charts/colors49.xml" ContentType="application/vnd.ms-office.chartcolorstyle+xml"/>
  <Override PartName="/xl/charts/chart49.xml" ContentType="application/vnd.openxmlformats-officedocument.drawingml.chart+xml"/>
  <Override PartName="/xl/charts/style50.xml" ContentType="application/vnd.ms-office.chartstyle+xml"/>
  <Override PartName="/xl/charts/colors50.xml" ContentType="application/vnd.ms-office.chartcolorstyle+xml"/>
  <Override PartName="/xl/charts/chart50.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6.xml" ContentType="application/vnd.openxmlformats-officedocument.drawing+xml"/>
  <Override PartName="/xl/charts/chart51.xml" ContentType="application/vnd.openxmlformats-officedocument.drawingml.chart+xml"/>
  <Override PartName="/xl/charts/style52.xml" ContentType="application/vnd.ms-office.chartstyle+xml"/>
  <Override PartName="/xl/charts/colors52.xml" ContentType="application/vnd.ms-office.chartcolorstyle+xml"/>
  <Override PartName="/xl/charts/chart52.xml" ContentType="application/vnd.openxmlformats-officedocument.drawingml.chart+xml"/>
  <Override PartName="/xl/charts/style53.xml" ContentType="application/vnd.ms-office.chartstyle+xml"/>
  <Override PartName="/xl/charts/colors53.xml" ContentType="application/vnd.ms-office.chartcolorstyle+xml"/>
  <Override PartName="/xl/charts/chart53.xml" ContentType="application/vnd.openxmlformats-officedocument.drawingml.chart+xml"/>
  <Override PartName="/xl/charts/style54.xml" ContentType="application/vnd.ms-office.chartstyle+xml"/>
  <Override PartName="/xl/charts/colors54.xml" ContentType="application/vnd.ms-office.chartcolorstyle+xml"/>
  <Override PartName="/xl/charts/chart54.xml" ContentType="application/vnd.openxmlformats-officedocument.drawingml.chart+xml"/>
  <Override PartName="/xl/charts/style55.xml" ContentType="application/vnd.ms-office.chartstyle+xml"/>
  <Override PartName="/xl/charts/colors55.xml" ContentType="application/vnd.ms-office.chartcolorstyle+xml"/>
  <Override PartName="/xl/charts/chart55.xml" ContentType="application/vnd.openxmlformats-officedocument.drawingml.chart+xml"/>
  <Override PartName="/xl/charts/style56.xml" ContentType="application/vnd.ms-office.chartstyle+xml"/>
  <Override PartName="/xl/charts/colors56.xml" ContentType="application/vnd.ms-office.chartcolorstyle+xml"/>
  <Override PartName="/xl/charts/chart56.xml" ContentType="application/vnd.openxmlformats-officedocument.drawingml.chart+xml"/>
  <Override PartName="/xl/charts/style57.xml" ContentType="application/vnd.ms-office.chartstyle+xml"/>
  <Override PartName="/xl/charts/colors57.xml" ContentType="application/vnd.ms-office.chartcolorstyle+xml"/>
  <Override PartName="/xl/charts/chart57.xml" ContentType="application/vnd.openxmlformats-officedocument.drawingml.chart+xml"/>
  <Override PartName="/xl/charts/style58.xml" ContentType="application/vnd.ms-office.chartstyle+xml"/>
  <Override PartName="/xl/charts/colors58.xml" ContentType="application/vnd.ms-office.chartcolorstyle+xml"/>
  <Override PartName="/xl/charts/chart58.xml" ContentType="application/vnd.openxmlformats-officedocument.drawingml.chart+xml"/>
  <Override PartName="/xl/charts/style59.xml" ContentType="application/vnd.ms-office.chartstyle+xml"/>
  <Override PartName="/xl/charts/colors59.xml" ContentType="application/vnd.ms-office.chartcolorstyle+xml"/>
  <Override PartName="/xl/charts/chart59.xml" ContentType="application/vnd.openxmlformats-officedocument.drawingml.chart+xml"/>
  <Override PartName="/xl/charts/style60.xml" ContentType="application/vnd.ms-office.chartstyle+xml"/>
  <Override PartName="/xl/charts/colors60.xml" ContentType="application/vnd.ms-office.chartcolorstyle+xml"/>
  <Override PartName="/xl/charts/chart60.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7.xml" ContentType="application/vnd.openxmlformats-officedocument.drawing+xml"/>
  <Override PartName="/xl/charts/chart61.xml" ContentType="application/vnd.openxmlformats-officedocument.drawingml.chart+xml"/>
  <Override PartName="/xl/charts/style62.xml" ContentType="application/vnd.ms-office.chartstyle+xml"/>
  <Override PartName="/xl/charts/colors62.xml" ContentType="application/vnd.ms-office.chartcolorstyle+xml"/>
  <Override PartName="/xl/charts/chart62.xml" ContentType="application/vnd.openxmlformats-officedocument.drawingml.chart+xml"/>
  <Override PartName="/xl/charts/style63.xml" ContentType="application/vnd.ms-office.chartstyle+xml"/>
  <Override PartName="/xl/charts/colors63.xml" ContentType="application/vnd.ms-office.chartcolorstyle+xml"/>
  <Override PartName="/xl/charts/chart63.xml" ContentType="application/vnd.openxmlformats-officedocument.drawingml.chart+xml"/>
  <Override PartName="/xl/charts/style64.xml" ContentType="application/vnd.ms-office.chartstyle+xml"/>
  <Override PartName="/xl/charts/colors64.xml" ContentType="application/vnd.ms-office.chartcolorstyle+xml"/>
  <Override PartName="/xl/charts/chart64.xml" ContentType="application/vnd.openxmlformats-officedocument.drawingml.chart+xml"/>
  <Override PartName="/xl/charts/style65.xml" ContentType="application/vnd.ms-office.chartstyle+xml"/>
  <Override PartName="/xl/charts/colors65.xml" ContentType="application/vnd.ms-office.chartcolorstyle+xml"/>
  <Override PartName="/xl/charts/chart65.xml" ContentType="application/vnd.openxmlformats-officedocument.drawingml.chart+xml"/>
  <Override PartName="/xl/charts/style66.xml" ContentType="application/vnd.ms-office.chartstyle+xml"/>
  <Override PartName="/xl/charts/colors66.xml" ContentType="application/vnd.ms-office.chartcolorstyle+xml"/>
  <Override PartName="/xl/charts/chart66.xml" ContentType="application/vnd.openxmlformats-officedocument.drawingml.chart+xml"/>
  <Override PartName="/xl/charts/style67.xml" ContentType="application/vnd.ms-office.chartstyle+xml"/>
  <Override PartName="/xl/charts/colors67.xml" ContentType="application/vnd.ms-office.chartcolorstyle+xml"/>
  <Override PartName="/xl/charts/chart67.xml" ContentType="application/vnd.openxmlformats-officedocument.drawingml.chart+xml"/>
  <Override PartName="/xl/charts/style68.xml" ContentType="application/vnd.ms-office.chartstyle+xml"/>
  <Override PartName="/xl/charts/colors68.xml" ContentType="application/vnd.ms-office.chartcolorstyle+xml"/>
  <Override PartName="/xl/charts/chart68.xml" ContentType="application/vnd.openxmlformats-officedocument.drawingml.chart+xml"/>
  <Override PartName="/xl/charts/style69.xml" ContentType="application/vnd.ms-office.chartstyle+xml"/>
  <Override PartName="/xl/charts/colors69.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gurusharan/Downloads/"/>
    </mc:Choice>
  </mc:AlternateContent>
  <xr:revisionPtr revIDLastSave="0" documentId="8_{4230F67B-DE69-D84F-8384-A243ED3C168A}" xr6:coauthVersionLast="47" xr6:coauthVersionMax="47" xr10:uidLastSave="{00000000-0000-0000-0000-000000000000}"/>
  <bookViews>
    <workbookView xWindow="0" yWindow="600" windowWidth="25600" windowHeight="16040" activeTab="1" xr2:uid="{B9914218-7CDB-484C-A731-66C436DBA844}"/>
  </bookViews>
  <sheets>
    <sheet name="Master Data" sheetId="1" r:id="rId1"/>
    <sheet name="NVIDIA" sheetId="2" r:id="rId2"/>
    <sheet name="AMD" sheetId="8" r:id="rId3"/>
    <sheet name="Qualcomm" sheetId="3" r:id="rId4"/>
    <sheet name="ARM" sheetId="5" r:id="rId5"/>
    <sheet name="TSMC" sheetId="6" r:id="rId6"/>
    <sheet name="Intel" sheetId="7" r:id="rId7"/>
  </sheets>
  <externalReferences>
    <externalReference r:id="rId8"/>
  </externalReferences>
  <definedNames>
    <definedName name="_xlnm._FilterDatabase" localSheetId="0" hidden="1">'Master Data'!$A$13:$G$19</definedName>
    <definedName name="_xlchart.v1.0" hidden="1">ARM!$A$7</definedName>
    <definedName name="_xlchart.v1.1" hidden="1">ARM!$A$9</definedName>
    <definedName name="_xlchart.v1.2" hidden="1">ARM!$B$7:$F$7</definedName>
    <definedName name="_xlchart.v1.3" hidden="1">ARM!$B$9:$F$9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8" i="5" l="1"/>
  <c r="D78" i="5"/>
  <c r="E78" i="5"/>
  <c r="F78" i="5"/>
  <c r="B78" i="5"/>
  <c r="C77" i="5"/>
  <c r="D77" i="5"/>
  <c r="E77" i="5"/>
  <c r="F77" i="5"/>
  <c r="B77" i="5"/>
  <c r="F27" i="1"/>
  <c r="E27" i="1"/>
  <c r="D27" i="1"/>
  <c r="C27" i="1"/>
  <c r="B27" i="1"/>
  <c r="C28" i="1"/>
  <c r="D28" i="1"/>
  <c r="E28" i="1"/>
  <c r="F28" i="1"/>
  <c r="G28" i="1"/>
  <c r="B28" i="1"/>
  <c r="C26" i="1"/>
  <c r="D26" i="1"/>
  <c r="E26" i="1"/>
  <c r="F26" i="1"/>
  <c r="B26" i="1"/>
  <c r="C25" i="1"/>
  <c r="D25" i="1"/>
  <c r="E25" i="1"/>
  <c r="F25" i="1"/>
  <c r="B25" i="1"/>
  <c r="C24" i="1"/>
  <c r="D24" i="1"/>
  <c r="E24" i="1"/>
  <c r="F24" i="1"/>
  <c r="B24" i="1"/>
  <c r="C23" i="1"/>
  <c r="D23" i="1"/>
  <c r="E23" i="1"/>
  <c r="F23" i="1"/>
  <c r="B23" i="1"/>
  <c r="F9" i="1"/>
  <c r="G9" i="1" s="1"/>
  <c r="E9" i="1"/>
  <c r="D9" i="1"/>
  <c r="C9" i="1"/>
  <c r="B9" i="1"/>
  <c r="C10" i="1"/>
  <c r="D10" i="1"/>
  <c r="E10" i="1"/>
  <c r="F10" i="1"/>
  <c r="B10" i="1"/>
  <c r="C8" i="1"/>
  <c r="D8" i="1"/>
  <c r="E8" i="1"/>
  <c r="F8" i="1"/>
  <c r="B8" i="1"/>
  <c r="C7" i="1"/>
  <c r="D7" i="1"/>
  <c r="E7" i="1"/>
  <c r="F7" i="1"/>
  <c r="B7" i="1"/>
  <c r="C6" i="1"/>
  <c r="D6" i="1"/>
  <c r="E6" i="1"/>
  <c r="F6" i="1"/>
  <c r="B6" i="1"/>
  <c r="C5" i="1"/>
  <c r="D5" i="1"/>
  <c r="E5" i="1"/>
  <c r="F5" i="1"/>
  <c r="B5" i="1"/>
  <c r="C82" i="5"/>
  <c r="D82" i="5"/>
  <c r="E82" i="5"/>
  <c r="F82" i="5"/>
  <c r="B82" i="5"/>
  <c r="C64" i="2"/>
  <c r="D64" i="2"/>
  <c r="E64" i="2"/>
  <c r="F64" i="2"/>
  <c r="B64" i="2"/>
  <c r="C63" i="2"/>
  <c r="D63" i="2"/>
  <c r="E63" i="2"/>
  <c r="F63" i="2"/>
  <c r="B63" i="2"/>
  <c r="C62" i="2"/>
  <c r="D62" i="2"/>
  <c r="E62" i="2"/>
  <c r="B62" i="2"/>
  <c r="F62" i="2"/>
  <c r="C60" i="7"/>
  <c r="L93" i="1" s="1"/>
  <c r="D60" i="7"/>
  <c r="M93" i="1" s="1"/>
  <c r="E60" i="7"/>
  <c r="N81" i="1" s="1"/>
  <c r="F60" i="7"/>
  <c r="O81" i="1" s="1"/>
  <c r="B60" i="7"/>
  <c r="K99" i="1" s="1"/>
  <c r="L79" i="1"/>
  <c r="M79" i="1"/>
  <c r="N79" i="1"/>
  <c r="O79" i="1"/>
  <c r="K79" i="1"/>
  <c r="O104" i="1"/>
  <c r="L104" i="1"/>
  <c r="M104" i="1"/>
  <c r="N104" i="1"/>
  <c r="K104" i="1"/>
  <c r="L102" i="1"/>
  <c r="M102" i="1"/>
  <c r="N102" i="1"/>
  <c r="O102" i="1"/>
  <c r="K102" i="1"/>
  <c r="L97" i="1"/>
  <c r="M97" i="1"/>
  <c r="N97" i="1"/>
  <c r="O97" i="1"/>
  <c r="K97" i="1"/>
  <c r="L92" i="1"/>
  <c r="M92" i="1"/>
  <c r="N92" i="1"/>
  <c r="O92" i="1"/>
  <c r="K92" i="1"/>
  <c r="L91" i="1"/>
  <c r="M91" i="1"/>
  <c r="N91" i="1"/>
  <c r="O91" i="1"/>
  <c r="K91" i="1"/>
  <c r="Q91" i="1" s="1"/>
  <c r="L85" i="1"/>
  <c r="M85" i="1"/>
  <c r="N85" i="1"/>
  <c r="O85" i="1"/>
  <c r="K85" i="1"/>
  <c r="C8" i="3"/>
  <c r="D8" i="3"/>
  <c r="E8" i="3"/>
  <c r="F8" i="3"/>
  <c r="B8" i="3"/>
  <c r="O99" i="1" l="1"/>
  <c r="M81" i="1"/>
  <c r="L81" i="1"/>
  <c r="Q81" i="1" s="1"/>
  <c r="N99" i="1"/>
  <c r="T99" i="1" s="1"/>
  <c r="K93" i="1"/>
  <c r="Q93" i="1" s="1"/>
  <c r="M99" i="1"/>
  <c r="O93" i="1"/>
  <c r="T93" i="1" s="1"/>
  <c r="L99" i="1"/>
  <c r="R99" i="1" s="1"/>
  <c r="N93" i="1"/>
  <c r="K81" i="1"/>
  <c r="Q97" i="1"/>
  <c r="Q102" i="1"/>
  <c r="R85" i="1"/>
  <c r="T92" i="1"/>
  <c r="R104" i="1"/>
  <c r="Q79" i="1"/>
  <c r="R92" i="1"/>
  <c r="T102" i="1"/>
  <c r="S79" i="1"/>
  <c r="R93" i="1"/>
  <c r="S85" i="1"/>
  <c r="R97" i="1"/>
  <c r="S92" i="1"/>
  <c r="T79" i="1"/>
  <c r="S93" i="1"/>
  <c r="S102" i="1"/>
  <c r="T81" i="1"/>
  <c r="R102" i="1"/>
  <c r="R91" i="1"/>
  <c r="Q104" i="1"/>
  <c r="T85" i="1"/>
  <c r="Q92" i="1"/>
  <c r="S97" i="1"/>
  <c r="T104" i="1"/>
  <c r="T91" i="1"/>
  <c r="Q85" i="1"/>
  <c r="S91" i="1"/>
  <c r="S81" i="1"/>
  <c r="T97" i="1"/>
  <c r="S104" i="1"/>
  <c r="R79" i="1"/>
  <c r="C127" i="1"/>
  <c r="C145" i="1" s="1"/>
  <c r="D127" i="1"/>
  <c r="E127" i="1"/>
  <c r="E145" i="1" s="1"/>
  <c r="F127" i="1"/>
  <c r="F145" i="1" s="1"/>
  <c r="B127" i="1"/>
  <c r="B145" i="1" s="1"/>
  <c r="C124" i="1"/>
  <c r="C142" i="1" s="1"/>
  <c r="D124" i="1"/>
  <c r="D142" i="1" s="1"/>
  <c r="E124" i="1"/>
  <c r="E142" i="1" s="1"/>
  <c r="F124" i="1"/>
  <c r="F142" i="1" s="1"/>
  <c r="B124" i="1"/>
  <c r="C123" i="1"/>
  <c r="C141" i="1" s="1"/>
  <c r="D123" i="1"/>
  <c r="D141" i="1" s="1"/>
  <c r="E123" i="1"/>
  <c r="E141" i="1" s="1"/>
  <c r="F123" i="1"/>
  <c r="F141" i="1" s="1"/>
  <c r="B123" i="1"/>
  <c r="B141" i="1" s="1"/>
  <c r="G169" i="1"/>
  <c r="G170" i="1"/>
  <c r="G171" i="1"/>
  <c r="G172" i="1"/>
  <c r="G173" i="1"/>
  <c r="G168" i="1"/>
  <c r="G24" i="1"/>
  <c r="G25" i="1"/>
  <c r="G26" i="1"/>
  <c r="G27" i="1"/>
  <c r="G23" i="1"/>
  <c r="C19" i="1"/>
  <c r="D19" i="1"/>
  <c r="E19" i="1"/>
  <c r="B19" i="1"/>
  <c r="C18" i="1"/>
  <c r="D18" i="1"/>
  <c r="E18" i="1"/>
  <c r="B18" i="1"/>
  <c r="C17" i="1"/>
  <c r="D17" i="1"/>
  <c r="E17" i="1"/>
  <c r="B17" i="1"/>
  <c r="C16" i="1"/>
  <c r="D16" i="1"/>
  <c r="E16" i="1"/>
  <c r="B16" i="1"/>
  <c r="C15" i="1"/>
  <c r="D15" i="1"/>
  <c r="E15" i="1"/>
  <c r="B15" i="1"/>
  <c r="C14" i="1"/>
  <c r="D14" i="1"/>
  <c r="E14" i="1"/>
  <c r="B14" i="1"/>
  <c r="C64" i="1"/>
  <c r="D64" i="1"/>
  <c r="E64" i="1"/>
  <c r="F64" i="1"/>
  <c r="B64" i="1"/>
  <c r="C63" i="1"/>
  <c r="D63" i="1"/>
  <c r="E63" i="1"/>
  <c r="F63" i="1"/>
  <c r="B63" i="1"/>
  <c r="C62" i="1"/>
  <c r="D62" i="1"/>
  <c r="E62" i="1"/>
  <c r="F62" i="1"/>
  <c r="B62" i="1"/>
  <c r="C61" i="1"/>
  <c r="D61" i="1"/>
  <c r="E61" i="1"/>
  <c r="F61" i="1"/>
  <c r="B61" i="1"/>
  <c r="C60" i="1"/>
  <c r="D60" i="1"/>
  <c r="E60" i="1"/>
  <c r="F60" i="1"/>
  <c r="B60" i="1"/>
  <c r="C59" i="1"/>
  <c r="D59" i="1"/>
  <c r="E59" i="1"/>
  <c r="F59" i="1"/>
  <c r="B59" i="1"/>
  <c r="C46" i="1"/>
  <c r="D46" i="1"/>
  <c r="E46" i="1"/>
  <c r="F46" i="1"/>
  <c r="B46" i="1"/>
  <c r="C45" i="1"/>
  <c r="D45" i="1"/>
  <c r="E45" i="1"/>
  <c r="F45" i="1"/>
  <c r="B45" i="1"/>
  <c r="C44" i="1"/>
  <c r="D44" i="1"/>
  <c r="E44" i="1"/>
  <c r="F44" i="1"/>
  <c r="B44" i="1"/>
  <c r="C43" i="1"/>
  <c r="D43" i="1"/>
  <c r="E43" i="1"/>
  <c r="F43" i="1"/>
  <c r="B43" i="1"/>
  <c r="C42" i="1"/>
  <c r="D42" i="1"/>
  <c r="E42" i="1"/>
  <c r="F42" i="1"/>
  <c r="B42" i="1"/>
  <c r="C41" i="1"/>
  <c r="D41" i="1"/>
  <c r="E41" i="1"/>
  <c r="F41" i="1"/>
  <c r="B41" i="1"/>
  <c r="G5" i="1"/>
  <c r="G6" i="1"/>
  <c r="G7" i="1"/>
  <c r="G8" i="1"/>
  <c r="G10" i="1"/>
  <c r="C37" i="1"/>
  <c r="D37" i="1"/>
  <c r="E37" i="1"/>
  <c r="F37" i="1"/>
  <c r="B37" i="1"/>
  <c r="C36" i="1"/>
  <c r="D36" i="1"/>
  <c r="E36" i="1"/>
  <c r="F36" i="1"/>
  <c r="B36" i="1"/>
  <c r="C35" i="1"/>
  <c r="D35" i="1"/>
  <c r="E35" i="1"/>
  <c r="F35" i="1"/>
  <c r="B35" i="1"/>
  <c r="C34" i="1"/>
  <c r="D34" i="1"/>
  <c r="E34" i="1"/>
  <c r="F34" i="1"/>
  <c r="B34" i="1"/>
  <c r="C33" i="1"/>
  <c r="D33" i="1"/>
  <c r="E33" i="1"/>
  <c r="F33" i="1"/>
  <c r="B33" i="1"/>
  <c r="C32" i="1"/>
  <c r="D32" i="1"/>
  <c r="E32" i="1"/>
  <c r="F32" i="1"/>
  <c r="B32" i="1"/>
  <c r="C47" i="2"/>
  <c r="D47" i="2"/>
  <c r="E47" i="2"/>
  <c r="F47" i="2"/>
  <c r="B47" i="2"/>
  <c r="C57" i="2"/>
  <c r="D57" i="2"/>
  <c r="E57" i="2"/>
  <c r="F57" i="2"/>
  <c r="B57" i="2"/>
  <c r="C68" i="2"/>
  <c r="D68" i="2"/>
  <c r="E68" i="2"/>
  <c r="B68" i="2"/>
  <c r="C72" i="2"/>
  <c r="D72" i="2"/>
  <c r="E72" i="2"/>
  <c r="B72" i="2"/>
  <c r="D8" i="2"/>
  <c r="E8" i="2"/>
  <c r="F8" i="2"/>
  <c r="C8" i="2"/>
  <c r="B8" i="2"/>
  <c r="B70" i="2" s="1"/>
  <c r="C27" i="3"/>
  <c r="D27" i="3"/>
  <c r="E27" i="3"/>
  <c r="B27" i="3"/>
  <c r="E25" i="3"/>
  <c r="D25" i="3"/>
  <c r="C25" i="3"/>
  <c r="B25" i="3"/>
  <c r="E24" i="3"/>
  <c r="D24" i="3"/>
  <c r="C24" i="3"/>
  <c r="B24" i="3"/>
  <c r="E23" i="3"/>
  <c r="D23" i="3"/>
  <c r="C23" i="3"/>
  <c r="B23" i="3"/>
  <c r="E22" i="3"/>
  <c r="D22" i="3"/>
  <c r="C22" i="3"/>
  <c r="B22" i="3"/>
  <c r="E10" i="3"/>
  <c r="F9" i="3"/>
  <c r="F10" i="3" s="1"/>
  <c r="E9" i="3"/>
  <c r="D9" i="3"/>
  <c r="D10" i="3" s="1"/>
  <c r="C9" i="3"/>
  <c r="C10" i="3" s="1"/>
  <c r="B9" i="3"/>
  <c r="B10" i="3" s="1"/>
  <c r="C34" i="3"/>
  <c r="C179" i="1" s="1"/>
  <c r="D34" i="3"/>
  <c r="D179" i="1" s="1"/>
  <c r="E34" i="3"/>
  <c r="E179" i="1" s="1"/>
  <c r="F34" i="3"/>
  <c r="F179" i="1" s="1"/>
  <c r="B34" i="3"/>
  <c r="B179" i="1" s="1"/>
  <c r="C182" i="1"/>
  <c r="D182" i="1"/>
  <c r="E182" i="1"/>
  <c r="F182" i="1"/>
  <c r="B182" i="1"/>
  <c r="E55" i="1"/>
  <c r="D55" i="1"/>
  <c r="C55" i="1"/>
  <c r="B55" i="1"/>
  <c r="E54" i="1"/>
  <c r="D54" i="1"/>
  <c r="C54" i="1"/>
  <c r="B54" i="1"/>
  <c r="E53" i="1"/>
  <c r="D53" i="1"/>
  <c r="C53" i="1"/>
  <c r="B53" i="1"/>
  <c r="E52" i="1"/>
  <c r="D52" i="1"/>
  <c r="C52" i="1"/>
  <c r="B52" i="1"/>
  <c r="E51" i="1"/>
  <c r="D51" i="1"/>
  <c r="C51" i="1"/>
  <c r="B51" i="1"/>
  <c r="E50" i="1"/>
  <c r="D50" i="1"/>
  <c r="C50" i="1"/>
  <c r="B50" i="1"/>
  <c r="S99" i="1" l="1"/>
  <c r="R81" i="1"/>
  <c r="Q99" i="1"/>
  <c r="H28" i="1"/>
  <c r="H24" i="1"/>
  <c r="H27" i="1"/>
  <c r="H23" i="1"/>
  <c r="H26" i="1"/>
  <c r="H25" i="1"/>
  <c r="K90" i="1"/>
  <c r="K84" i="1"/>
  <c r="K78" i="1"/>
  <c r="O90" i="1"/>
  <c r="O84" i="1"/>
  <c r="O78" i="1"/>
  <c r="N90" i="1"/>
  <c r="T90" i="1" s="1"/>
  <c r="N84" i="1"/>
  <c r="T84" i="1" s="1"/>
  <c r="N78" i="1"/>
  <c r="M90" i="1"/>
  <c r="M84" i="1"/>
  <c r="M78" i="1"/>
  <c r="L90" i="1"/>
  <c r="L84" i="1"/>
  <c r="L78" i="1"/>
  <c r="R78" i="1" s="1"/>
  <c r="B177" i="1"/>
  <c r="B9" i="2"/>
  <c r="F177" i="1"/>
  <c r="F9" i="2"/>
  <c r="E177" i="1"/>
  <c r="E9" i="2"/>
  <c r="D177" i="1"/>
  <c r="D9" i="2"/>
  <c r="D69" i="2" s="1"/>
  <c r="C177" i="1"/>
  <c r="C9" i="2"/>
  <c r="B26" i="3"/>
  <c r="E26" i="3"/>
  <c r="D26" i="3"/>
  <c r="C26" i="3"/>
  <c r="E133" i="1"/>
  <c r="D136" i="1"/>
  <c r="B136" i="1"/>
  <c r="G141" i="1"/>
  <c r="D133" i="1"/>
  <c r="C136" i="1"/>
  <c r="B133" i="1"/>
  <c r="D145" i="1"/>
  <c r="G145" i="1" s="1"/>
  <c r="B142" i="1"/>
  <c r="G142" i="1" s="1"/>
  <c r="C132" i="1"/>
  <c r="G123" i="1"/>
  <c r="C133" i="1"/>
  <c r="B132" i="1"/>
  <c r="E132" i="1"/>
  <c r="G127" i="1"/>
  <c r="D132" i="1"/>
  <c r="G124" i="1"/>
  <c r="E136" i="1"/>
  <c r="C70" i="2"/>
  <c r="D70" i="2"/>
  <c r="G61" i="1"/>
  <c r="G59" i="1"/>
  <c r="G63" i="1"/>
  <c r="G60" i="1"/>
  <c r="G64" i="1"/>
  <c r="G62" i="1"/>
  <c r="G41" i="1"/>
  <c r="G44" i="1"/>
  <c r="G46" i="1"/>
  <c r="G45" i="1"/>
  <c r="G42" i="1"/>
  <c r="G43" i="1"/>
  <c r="G37" i="1"/>
  <c r="G32" i="1"/>
  <c r="G34" i="1"/>
  <c r="G33" i="1"/>
  <c r="G35" i="1"/>
  <c r="G36" i="1"/>
  <c r="D10" i="2"/>
  <c r="E70" i="2"/>
  <c r="B10" i="2"/>
  <c r="F51" i="1"/>
  <c r="F53" i="1"/>
  <c r="F50" i="1"/>
  <c r="G182" i="1"/>
  <c r="F55" i="1"/>
  <c r="F54" i="1"/>
  <c r="F52" i="1"/>
  <c r="G179" i="1"/>
  <c r="B186" i="1"/>
  <c r="C186" i="1"/>
  <c r="D186" i="1"/>
  <c r="E186" i="1"/>
  <c r="F186" i="1"/>
  <c r="B187" i="1"/>
  <c r="C187" i="1"/>
  <c r="D187" i="1"/>
  <c r="E187" i="1"/>
  <c r="C191" i="1"/>
  <c r="D191" i="1"/>
  <c r="E191" i="1"/>
  <c r="B191" i="1"/>
  <c r="C190" i="1"/>
  <c r="D190" i="1"/>
  <c r="E190" i="1"/>
  <c r="B190" i="1"/>
  <c r="C189" i="1"/>
  <c r="D189" i="1"/>
  <c r="E189" i="1"/>
  <c r="B189" i="1"/>
  <c r="C188" i="1"/>
  <c r="D188" i="1"/>
  <c r="E188" i="1"/>
  <c r="B188" i="1"/>
  <c r="C109" i="1"/>
  <c r="D109" i="1"/>
  <c r="E109" i="1"/>
  <c r="F109" i="1"/>
  <c r="B109" i="1"/>
  <c r="C108" i="1"/>
  <c r="D108" i="1"/>
  <c r="E108" i="1"/>
  <c r="F108" i="1"/>
  <c r="B108" i="1"/>
  <c r="C107" i="1"/>
  <c r="D107" i="1"/>
  <c r="E107" i="1"/>
  <c r="F107" i="1"/>
  <c r="B107" i="1"/>
  <c r="C106" i="1"/>
  <c r="D106" i="1"/>
  <c r="E106" i="1"/>
  <c r="F106" i="1"/>
  <c r="B106" i="1"/>
  <c r="C105" i="1"/>
  <c r="D105" i="1"/>
  <c r="E105" i="1"/>
  <c r="F105" i="1"/>
  <c r="B105" i="1"/>
  <c r="C104" i="1"/>
  <c r="D104" i="1"/>
  <c r="E104" i="1"/>
  <c r="F104" i="1"/>
  <c r="B104" i="1"/>
  <c r="F15" i="1"/>
  <c r="F16" i="1"/>
  <c r="F17" i="1"/>
  <c r="F18" i="1"/>
  <c r="F19" i="1"/>
  <c r="F14" i="1"/>
  <c r="C91" i="1"/>
  <c r="D91" i="1"/>
  <c r="E91" i="1"/>
  <c r="F91" i="1"/>
  <c r="B91" i="1"/>
  <c r="C90" i="1"/>
  <c r="D90" i="1"/>
  <c r="E90" i="1"/>
  <c r="F90" i="1"/>
  <c r="B90" i="1"/>
  <c r="C89" i="1"/>
  <c r="D89" i="1"/>
  <c r="E89" i="1"/>
  <c r="F89" i="1"/>
  <c r="B89" i="1"/>
  <c r="C88" i="1"/>
  <c r="D88" i="1"/>
  <c r="E88" i="1"/>
  <c r="F88" i="1"/>
  <c r="B88" i="1"/>
  <c r="C86" i="1"/>
  <c r="D86" i="1"/>
  <c r="E86" i="1"/>
  <c r="F86" i="1"/>
  <c r="B86" i="1"/>
  <c r="C73" i="1"/>
  <c r="D73" i="1"/>
  <c r="E73" i="1"/>
  <c r="F73" i="1"/>
  <c r="B73" i="1"/>
  <c r="C72" i="1"/>
  <c r="D72" i="1"/>
  <c r="E72" i="1"/>
  <c r="F72" i="1"/>
  <c r="B72" i="1"/>
  <c r="C71" i="1"/>
  <c r="D71" i="1"/>
  <c r="E71" i="1"/>
  <c r="F71" i="1"/>
  <c r="B71" i="1"/>
  <c r="D68" i="1"/>
  <c r="C70" i="1"/>
  <c r="D70" i="1"/>
  <c r="E70" i="1"/>
  <c r="F70" i="1"/>
  <c r="B70" i="1"/>
  <c r="C38" i="6"/>
  <c r="D38" i="6"/>
  <c r="E38" i="6"/>
  <c r="F38" i="6"/>
  <c r="B38" i="6"/>
  <c r="F31" i="6"/>
  <c r="F181" i="1" s="1"/>
  <c r="E31" i="6"/>
  <c r="E181" i="1" s="1"/>
  <c r="D31" i="6"/>
  <c r="D181" i="1" s="1"/>
  <c r="C31" i="6"/>
  <c r="C181" i="1" s="1"/>
  <c r="B31" i="6"/>
  <c r="B181" i="1" s="1"/>
  <c r="E24" i="6"/>
  <c r="D24" i="6"/>
  <c r="C24" i="6"/>
  <c r="B24" i="6"/>
  <c r="D23" i="6"/>
  <c r="E23" i="6"/>
  <c r="C23" i="6"/>
  <c r="B23" i="6"/>
  <c r="D22" i="6"/>
  <c r="E22" i="6"/>
  <c r="C22" i="6"/>
  <c r="B22" i="6"/>
  <c r="E21" i="6"/>
  <c r="D21" i="6"/>
  <c r="C21" i="6"/>
  <c r="B21" i="6"/>
  <c r="D20" i="6"/>
  <c r="E20" i="6"/>
  <c r="C20" i="6"/>
  <c r="B20" i="6"/>
  <c r="D15" i="6"/>
  <c r="E15" i="6"/>
  <c r="F15" i="6"/>
  <c r="C15" i="6"/>
  <c r="B15" i="6"/>
  <c r="D16" i="6"/>
  <c r="E16" i="6"/>
  <c r="F16" i="6"/>
  <c r="C16" i="6"/>
  <c r="B16" i="6"/>
  <c r="D14" i="6"/>
  <c r="E14" i="6"/>
  <c r="F14" i="6"/>
  <c r="C14" i="6"/>
  <c r="B14" i="6"/>
  <c r="C44" i="6"/>
  <c r="C126" i="1" s="1"/>
  <c r="D44" i="6"/>
  <c r="D126" i="1" s="1"/>
  <c r="E44" i="6"/>
  <c r="E126" i="1" s="1"/>
  <c r="F44" i="6"/>
  <c r="F126" i="1" s="1"/>
  <c r="F144" i="1" s="1"/>
  <c r="B44" i="6"/>
  <c r="B126" i="1" s="1"/>
  <c r="C33" i="2"/>
  <c r="C122" i="1" s="1"/>
  <c r="D33" i="2"/>
  <c r="D122" i="1" s="1"/>
  <c r="E33" i="2"/>
  <c r="E122" i="1" s="1"/>
  <c r="F33" i="2"/>
  <c r="F122" i="1" s="1"/>
  <c r="F140" i="1" s="1"/>
  <c r="B33" i="2"/>
  <c r="B122" i="1" s="1"/>
  <c r="C48" i="5"/>
  <c r="D48" i="5"/>
  <c r="E48" i="5"/>
  <c r="F48" i="5"/>
  <c r="B48" i="5"/>
  <c r="G181" i="1" l="1"/>
  <c r="R84" i="1"/>
  <c r="B144" i="1"/>
  <c r="B135" i="1"/>
  <c r="F135" i="1" s="1"/>
  <c r="G126" i="1"/>
  <c r="E144" i="1"/>
  <c r="E135" i="1"/>
  <c r="D144" i="1"/>
  <c r="D135" i="1"/>
  <c r="C135" i="1"/>
  <c r="C144" i="1"/>
  <c r="S78" i="1"/>
  <c r="R90" i="1"/>
  <c r="S84" i="1"/>
  <c r="Q78" i="1"/>
  <c r="B115" i="1"/>
  <c r="S90" i="1"/>
  <c r="Q84" i="1"/>
  <c r="T78" i="1"/>
  <c r="Q90" i="1"/>
  <c r="G15" i="1"/>
  <c r="G51" i="1"/>
  <c r="H32" i="1"/>
  <c r="H62" i="1"/>
  <c r="H43" i="1"/>
  <c r="G52" i="1"/>
  <c r="H37" i="1"/>
  <c r="H64" i="1"/>
  <c r="G54" i="1"/>
  <c r="H60" i="1"/>
  <c r="E113" i="1"/>
  <c r="H63" i="1"/>
  <c r="G55" i="1"/>
  <c r="H45" i="1"/>
  <c r="B117" i="1"/>
  <c r="H46" i="1"/>
  <c r="B114" i="1"/>
  <c r="G50" i="1"/>
  <c r="H33" i="1"/>
  <c r="H44" i="1"/>
  <c r="G14" i="1"/>
  <c r="D116" i="1"/>
  <c r="H42" i="1"/>
  <c r="H36" i="1"/>
  <c r="H59" i="1"/>
  <c r="H35" i="1"/>
  <c r="H61" i="1"/>
  <c r="G53" i="1"/>
  <c r="H34" i="1"/>
  <c r="H41" i="1"/>
  <c r="E115" i="1"/>
  <c r="D118" i="1"/>
  <c r="C113" i="1"/>
  <c r="B116" i="1"/>
  <c r="D113" i="1"/>
  <c r="C116" i="1"/>
  <c r="E118" i="1"/>
  <c r="E117" i="1"/>
  <c r="D114" i="1"/>
  <c r="D115" i="1"/>
  <c r="C118" i="1"/>
  <c r="C115" i="1"/>
  <c r="E114" i="1"/>
  <c r="D117" i="1"/>
  <c r="B113" i="1"/>
  <c r="C117" i="1"/>
  <c r="C114" i="1"/>
  <c r="E116" i="1"/>
  <c r="B118" i="1"/>
  <c r="G177" i="1"/>
  <c r="B131" i="1"/>
  <c r="G122" i="1"/>
  <c r="B140" i="1"/>
  <c r="E131" i="1"/>
  <c r="E140" i="1"/>
  <c r="D140" i="1"/>
  <c r="D131" i="1"/>
  <c r="C140" i="1"/>
  <c r="C131" i="1"/>
  <c r="C69" i="2"/>
  <c r="C10" i="2"/>
  <c r="E69" i="2"/>
  <c r="E10" i="2"/>
  <c r="F69" i="2"/>
  <c r="F10" i="2"/>
  <c r="B69" i="2"/>
  <c r="F136" i="1"/>
  <c r="F133" i="1"/>
  <c r="B99" i="1"/>
  <c r="B95" i="1"/>
  <c r="F132" i="1"/>
  <c r="E99" i="1"/>
  <c r="D98" i="1"/>
  <c r="C97" i="1"/>
  <c r="B97" i="1"/>
  <c r="E95" i="1"/>
  <c r="E97" i="1"/>
  <c r="D97" i="1"/>
  <c r="C100" i="1"/>
  <c r="C98" i="1"/>
  <c r="B98" i="1"/>
  <c r="E100" i="1"/>
  <c r="D100" i="1"/>
  <c r="D99" i="1"/>
  <c r="D95" i="1"/>
  <c r="C99" i="1"/>
  <c r="C95" i="1"/>
  <c r="E98" i="1"/>
  <c r="B100" i="1"/>
  <c r="B82" i="1"/>
  <c r="D81" i="1"/>
  <c r="E79" i="1"/>
  <c r="C81" i="1"/>
  <c r="E82" i="1"/>
  <c r="B80" i="1"/>
  <c r="E80" i="1"/>
  <c r="D80" i="1"/>
  <c r="D82" i="1"/>
  <c r="D79" i="1"/>
  <c r="C80" i="1"/>
  <c r="B79" i="1"/>
  <c r="C82" i="1"/>
  <c r="C79" i="1"/>
  <c r="B81" i="1"/>
  <c r="E81" i="1"/>
  <c r="B71" i="2"/>
  <c r="B11" i="2"/>
  <c r="D71" i="2"/>
  <c r="D11" i="2"/>
  <c r="B68" i="1"/>
  <c r="G190" i="1"/>
  <c r="G91" i="1"/>
  <c r="G73" i="1"/>
  <c r="G108" i="1"/>
  <c r="G191" i="1"/>
  <c r="G90" i="1"/>
  <c r="G72" i="1"/>
  <c r="G86" i="1"/>
  <c r="G109" i="1"/>
  <c r="G89" i="1"/>
  <c r="G71" i="1"/>
  <c r="G189" i="1"/>
  <c r="G107" i="1"/>
  <c r="G106" i="1"/>
  <c r="G70" i="1"/>
  <c r="G88" i="1"/>
  <c r="G188" i="1"/>
  <c r="G104" i="1"/>
  <c r="G186" i="1"/>
  <c r="G187" i="1"/>
  <c r="G105" i="1"/>
  <c r="C53" i="5"/>
  <c r="D53" i="5"/>
  <c r="E53" i="5"/>
  <c r="F53" i="5"/>
  <c r="B53" i="5"/>
  <c r="C51" i="5"/>
  <c r="D51" i="5"/>
  <c r="E51" i="5"/>
  <c r="F51" i="5"/>
  <c r="B51" i="5"/>
  <c r="C52" i="5"/>
  <c r="D52" i="5"/>
  <c r="E52" i="5"/>
  <c r="F52" i="5"/>
  <c r="B52" i="5"/>
  <c r="F36" i="5"/>
  <c r="E36" i="5"/>
  <c r="D36" i="5"/>
  <c r="C36" i="5"/>
  <c r="B36" i="5"/>
  <c r="E21" i="5"/>
  <c r="E125" i="1" s="1"/>
  <c r="F21" i="5"/>
  <c r="F125" i="1" s="1"/>
  <c r="F143" i="1" s="1"/>
  <c r="D21" i="5"/>
  <c r="D125" i="1" s="1"/>
  <c r="C21" i="5"/>
  <c r="C125" i="1" s="1"/>
  <c r="B21" i="5"/>
  <c r="B125" i="1" s="1"/>
  <c r="C60" i="5"/>
  <c r="D60" i="5"/>
  <c r="E60" i="5"/>
  <c r="B60" i="5"/>
  <c r="C59" i="5"/>
  <c r="D59" i="5"/>
  <c r="E59" i="5"/>
  <c r="B59" i="5"/>
  <c r="C57" i="5"/>
  <c r="D57" i="5"/>
  <c r="E57" i="5"/>
  <c r="B57" i="5"/>
  <c r="C56" i="5"/>
  <c r="D56" i="5"/>
  <c r="E56" i="5"/>
  <c r="B56" i="5"/>
  <c r="C59" i="8"/>
  <c r="D59" i="8"/>
  <c r="E59" i="8"/>
  <c r="F59" i="8"/>
  <c r="B59" i="8"/>
  <c r="C8" i="8"/>
  <c r="C87" i="1" s="1"/>
  <c r="D8" i="8"/>
  <c r="D87" i="1" s="1"/>
  <c r="E8" i="8"/>
  <c r="E87" i="1" s="1"/>
  <c r="F8" i="8"/>
  <c r="F87" i="1" s="1"/>
  <c r="B8" i="8"/>
  <c r="B87" i="1" s="1"/>
  <c r="C83" i="8"/>
  <c r="D83" i="8"/>
  <c r="E83" i="8"/>
  <c r="F83" i="8"/>
  <c r="B83" i="8"/>
  <c r="G144" i="1" l="1"/>
  <c r="B143" i="1"/>
  <c r="G125" i="1"/>
  <c r="H127" i="1" s="1"/>
  <c r="B134" i="1"/>
  <c r="C134" i="1"/>
  <c r="C143" i="1"/>
  <c r="D143" i="1"/>
  <c r="D134" i="1"/>
  <c r="E143" i="1"/>
  <c r="E134" i="1"/>
  <c r="B180" i="1"/>
  <c r="B11" i="5"/>
  <c r="C180" i="1"/>
  <c r="C11" i="5"/>
  <c r="D180" i="1"/>
  <c r="D11" i="5"/>
  <c r="E180" i="1"/>
  <c r="E11" i="5"/>
  <c r="F180" i="1"/>
  <c r="F11" i="5"/>
  <c r="F114" i="1"/>
  <c r="H104" i="1"/>
  <c r="F115" i="1"/>
  <c r="H109" i="1"/>
  <c r="H105" i="1"/>
  <c r="H108" i="1"/>
  <c r="H106" i="1"/>
  <c r="H107" i="1"/>
  <c r="F116" i="1"/>
  <c r="F117" i="1"/>
  <c r="F113" i="1"/>
  <c r="F118" i="1"/>
  <c r="G140" i="1"/>
  <c r="F131" i="1"/>
  <c r="F11" i="2"/>
  <c r="F68" i="1"/>
  <c r="E71" i="2"/>
  <c r="E11" i="2"/>
  <c r="E68" i="1"/>
  <c r="C11" i="2"/>
  <c r="C68" i="1"/>
  <c r="C77" i="1" s="1"/>
  <c r="C71" i="2"/>
  <c r="F98" i="1"/>
  <c r="F97" i="1"/>
  <c r="F99" i="1"/>
  <c r="F95" i="1"/>
  <c r="B96" i="1"/>
  <c r="F100" i="1"/>
  <c r="C96" i="1"/>
  <c r="E96" i="1"/>
  <c r="D96" i="1"/>
  <c r="F82" i="1"/>
  <c r="F81" i="1"/>
  <c r="F80" i="1"/>
  <c r="F79" i="1"/>
  <c r="G87" i="1"/>
  <c r="H87" i="1" s="1"/>
  <c r="E32" i="8"/>
  <c r="D32" i="8"/>
  <c r="C32" i="8"/>
  <c r="B32" i="8"/>
  <c r="E30" i="8"/>
  <c r="D30" i="8"/>
  <c r="C30" i="8"/>
  <c r="B30" i="8"/>
  <c r="F29" i="8"/>
  <c r="F32" i="8"/>
  <c r="F28" i="8"/>
  <c r="E28" i="8"/>
  <c r="D28" i="8"/>
  <c r="C28" i="8"/>
  <c r="B28" i="8"/>
  <c r="F27" i="8"/>
  <c r="E27" i="8"/>
  <c r="D27" i="8"/>
  <c r="C27" i="8"/>
  <c r="B27" i="8"/>
  <c r="H89" i="1" l="1"/>
  <c r="H124" i="1"/>
  <c r="H91" i="1"/>
  <c r="H90" i="1"/>
  <c r="H125" i="1"/>
  <c r="H123" i="1"/>
  <c r="H126" i="1"/>
  <c r="H88" i="1"/>
  <c r="H122" i="1"/>
  <c r="H86" i="1"/>
  <c r="G180" i="1"/>
  <c r="E58" i="5"/>
  <c r="D58" i="5"/>
  <c r="C58" i="5"/>
  <c r="B58" i="5"/>
  <c r="G143" i="1"/>
  <c r="H144" i="1" s="1"/>
  <c r="F134" i="1"/>
  <c r="G135" i="1" s="1"/>
  <c r="G118" i="1"/>
  <c r="G117" i="1"/>
  <c r="G113" i="1"/>
  <c r="G116" i="1"/>
  <c r="G115" i="1"/>
  <c r="G114" i="1"/>
  <c r="B77" i="1"/>
  <c r="G68" i="1"/>
  <c r="E77" i="1"/>
  <c r="D77" i="1"/>
  <c r="F96" i="1"/>
  <c r="G96" i="1" s="1"/>
  <c r="F49" i="8"/>
  <c r="E49" i="8"/>
  <c r="D49" i="8"/>
  <c r="C49" i="8"/>
  <c r="B49" i="8"/>
  <c r="F19" i="8"/>
  <c r="E19" i="8"/>
  <c r="D19" i="8"/>
  <c r="C19" i="8"/>
  <c r="B19" i="8"/>
  <c r="F18" i="8"/>
  <c r="C18" i="8"/>
  <c r="D18" i="8"/>
  <c r="E18" i="8"/>
  <c r="B18" i="8"/>
  <c r="G133" i="1" l="1"/>
  <c r="H141" i="1"/>
  <c r="H143" i="1"/>
  <c r="H142" i="1"/>
  <c r="H145" i="1"/>
  <c r="H140" i="1"/>
  <c r="G134" i="1"/>
  <c r="G132" i="1"/>
  <c r="G136" i="1"/>
  <c r="G131" i="1"/>
  <c r="G98" i="1"/>
  <c r="G99" i="1"/>
  <c r="G95" i="1"/>
  <c r="G100" i="1"/>
  <c r="G97" i="1"/>
  <c r="F77" i="1"/>
  <c r="B64" i="8"/>
  <c r="B66" i="8" s="1"/>
  <c r="C41" i="8"/>
  <c r="D41" i="8"/>
  <c r="E41" i="8"/>
  <c r="F41" i="8"/>
  <c r="B41" i="8"/>
  <c r="C64" i="8"/>
  <c r="C66" i="8" s="1"/>
  <c r="D64" i="8"/>
  <c r="D66" i="8" s="1"/>
  <c r="E64" i="8"/>
  <c r="E66" i="8" s="1"/>
  <c r="F64" i="8"/>
  <c r="F66" i="8" s="1"/>
  <c r="F23" i="8"/>
  <c r="E23" i="8"/>
  <c r="D23" i="8"/>
  <c r="C23" i="8"/>
  <c r="B23" i="8"/>
  <c r="F21" i="8"/>
  <c r="E21" i="8"/>
  <c r="D21" i="8"/>
  <c r="C21" i="8"/>
  <c r="B21" i="8"/>
  <c r="F72" i="8"/>
  <c r="E72" i="8"/>
  <c r="D72" i="8"/>
  <c r="C72" i="8"/>
  <c r="B72" i="8"/>
  <c r="F70" i="8"/>
  <c r="E70" i="8"/>
  <c r="D70" i="8"/>
  <c r="C70" i="8"/>
  <c r="B70" i="8"/>
  <c r="B9" i="8" l="1"/>
  <c r="B178" i="1"/>
  <c r="F9" i="8"/>
  <c r="F20" i="8" s="1"/>
  <c r="F178" i="1"/>
  <c r="E9" i="8"/>
  <c r="E20" i="8" s="1"/>
  <c r="E178" i="1"/>
  <c r="D9" i="8"/>
  <c r="D178" i="1"/>
  <c r="C9" i="8"/>
  <c r="C178" i="1"/>
  <c r="B10" i="8"/>
  <c r="B69" i="1" s="1"/>
  <c r="B29" i="8"/>
  <c r="F10" i="8"/>
  <c r="F69" i="1" s="1"/>
  <c r="F30" i="8"/>
  <c r="C10" i="8"/>
  <c r="C69" i="1" s="1"/>
  <c r="C29" i="8"/>
  <c r="C13" i="5"/>
  <c r="D13" i="5"/>
  <c r="E13" i="5"/>
  <c r="F13" i="5"/>
  <c r="B13" i="5"/>
  <c r="F28" i="7"/>
  <c r="E28" i="7"/>
  <c r="D28" i="7"/>
  <c r="C28" i="7"/>
  <c r="B28" i="7"/>
  <c r="F27" i="7"/>
  <c r="E27" i="7"/>
  <c r="D27" i="7"/>
  <c r="C27" i="7"/>
  <c r="B27" i="7"/>
  <c r="F26" i="7"/>
  <c r="E26" i="7"/>
  <c r="D26" i="7"/>
  <c r="C26" i="7"/>
  <c r="B26" i="7"/>
  <c r="F25" i="7"/>
  <c r="E25" i="7"/>
  <c r="D25" i="7"/>
  <c r="C25" i="7"/>
  <c r="B25" i="7"/>
  <c r="F24" i="7"/>
  <c r="E24" i="7"/>
  <c r="D24" i="7"/>
  <c r="C24" i="7"/>
  <c r="B24" i="7"/>
  <c r="F23" i="7"/>
  <c r="E23" i="7"/>
  <c r="D23" i="7"/>
  <c r="C23" i="7"/>
  <c r="B23" i="7"/>
  <c r="B78" i="1" l="1"/>
  <c r="E29" i="8"/>
  <c r="E10" i="8"/>
  <c r="E69" i="1" s="1"/>
  <c r="D20" i="8"/>
  <c r="D10" i="8"/>
  <c r="D69" i="1" s="1"/>
  <c r="C78" i="1" s="1"/>
  <c r="G178" i="1"/>
  <c r="D29" i="8"/>
  <c r="C20" i="8"/>
  <c r="B20" i="8"/>
  <c r="E31" i="8"/>
  <c r="E71" i="8"/>
  <c r="E22" i="8"/>
  <c r="F31" i="8"/>
  <c r="F22" i="8"/>
  <c r="F71" i="8"/>
  <c r="C31" i="8"/>
  <c r="C71" i="8"/>
  <c r="B71" i="8"/>
  <c r="B31" i="8"/>
  <c r="B22" i="8"/>
  <c r="D78" i="1" l="1"/>
  <c r="E78" i="1"/>
  <c r="D31" i="8"/>
  <c r="D22" i="8"/>
  <c r="C22" i="8"/>
  <c r="D71" i="8"/>
  <c r="G69" i="1"/>
  <c r="H69" i="1" l="1"/>
  <c r="H68" i="1"/>
  <c r="H70" i="1"/>
  <c r="H71" i="1"/>
  <c r="H72" i="1"/>
  <c r="H73" i="1"/>
  <c r="F78" i="1"/>
  <c r="G78" i="1" l="1"/>
  <c r="G77" i="1"/>
  <c r="G79" i="1"/>
  <c r="G81" i="1"/>
  <c r="G82" i="1"/>
  <c r="G8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Gurusharan</author>
    <author>., GLORIA (PGT)</author>
  </authors>
  <commentList>
    <comment ref="A9" authorId="0" shapeId="0" xr:uid="{CF013177-B43D-DA47-8846-0F3BBE4E9134}">
      <text>
        <r>
          <rPr>
            <b/>
            <sz val="10"/>
            <color rgb="FF000000"/>
            <rFont val="Tahoma"/>
            <family val="2"/>
          </rPr>
          <t>Gurusharan:</t>
        </r>
        <r>
          <rPr>
            <sz val="10"/>
            <color rgb="FF000000"/>
            <rFont val="Tahoma"/>
            <family val="2"/>
          </rPr>
          <t xml:space="preserve">
</t>
        </r>
        <r>
          <rPr>
            <sz val="10"/>
            <color rgb="FF000000"/>
            <rFont val="Tahoma"/>
            <family val="2"/>
          </rPr>
          <t>Each year's national bank rate is used to convert to TWD to INR</t>
        </r>
      </text>
    </comment>
    <comment ref="A35" authorId="1" shapeId="0" xr:uid="{A6025EE6-2DB6-4194-883F-13CF55996C0C}">
      <text>
        <r>
          <rPr>
            <sz val="11"/>
            <color rgb="FF000000"/>
            <rFont val="Aptos Narrow"/>
            <family val="2"/>
          </rPr>
          <t xml:space="preserve">., GLORIA (PGT):
</t>
        </r>
        <r>
          <rPr>
            <sz val="11"/>
            <color rgb="FF000000"/>
            <rFont val="Aptos Narrow"/>
            <family val="2"/>
          </rPr>
          <t>Ratio is negative in ARM case as it is not manufacturing and selling hardware, so in this case it is calculated differently - includes design services and other things that helps to enable chip's manufacturing</t>
        </r>
      </text>
    </comment>
    <comment ref="A156" authorId="0" shapeId="0" xr:uid="{13BC2FAA-9292-2240-9A0A-DFD111CC0813}">
      <text>
        <r>
          <rPr>
            <b/>
            <sz val="10"/>
            <color rgb="FF000000"/>
            <rFont val="Tahoma"/>
            <family val="2"/>
          </rPr>
          <t>Gurusharan:</t>
        </r>
        <r>
          <rPr>
            <sz val="10"/>
            <color rgb="FF000000"/>
            <rFont val="Tahoma"/>
            <family val="2"/>
          </rPr>
          <t xml:space="preserve">
</t>
        </r>
        <r>
          <rPr>
            <sz val="10"/>
            <color rgb="FF000000"/>
            <rFont val="Tahoma"/>
            <family val="2"/>
          </rPr>
          <t>Overall ranking is calculated based on average of the above metrics' ranking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Gurusharan</author>
    <author>tc={18BFEF4E-192F-174C-B641-9FA4E52D029D}</author>
    <author>tc={7017607A-624C-2E4D-92A6-1D2CE975BF44}</author>
  </authors>
  <commentList>
    <comment ref="AH16" authorId="0" shapeId="0" xr:uid="{E664BE67-6385-124D-98B6-6FA4B881A39B}">
      <text>
        <r>
          <rPr>
            <b/>
            <sz val="10"/>
            <color rgb="FF000000"/>
            <rFont val="Tahoma"/>
            <family val="2"/>
          </rPr>
          <t>Gurusharan:</t>
        </r>
      </text>
    </comment>
    <comment ref="H71" authorId="1" shapeId="0" xr:uid="{18BFEF4E-192F-174C-B641-9FA4E52D02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add YoY growth for metrics same as in AMD @JORIGE, GEETANJALI (PGT) and @HUANG, TING-HSUAN (PGT)</t>
      </text>
    </comment>
    <comment ref="H78" authorId="2" shapeId="0" xr:uid="{7017607A-624C-2E4D-92A6-1D2CE975BF4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add YoY growth for metrics same as in AMD @JORIGE, GEETANJALI (PGT) and @HUANG, TING-HSUAN (PGT)
Reply:
    all done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Gurusharan</author>
  </authors>
  <commentList>
    <comment ref="A59" authorId="0" shapeId="0" xr:uid="{398D4E7D-FB04-5644-9301-364DB6DEEBE7}">
      <text>
        <r>
          <rPr>
            <b/>
            <sz val="10"/>
            <color rgb="FF000000"/>
            <rFont val="Tahoma"/>
            <family val="2"/>
          </rPr>
          <t>Gurusharan:</t>
        </r>
        <r>
          <rPr>
            <sz val="10"/>
            <color rgb="FF000000"/>
            <rFont val="Tahoma"/>
            <family val="2"/>
          </rPr>
          <t xml:space="preserve">
</t>
        </r>
        <r>
          <rPr>
            <sz val="10"/>
            <color rgb="FF000000"/>
            <rFont val="Tahoma"/>
            <family val="2"/>
          </rPr>
          <t>CapEx is calculated as the sum of expenses in purchases of property and equipment (PPE) and Acquision costs</t>
        </r>
      </text>
    </comment>
    <comment ref="A66" authorId="0" shapeId="0" xr:uid="{2F0DA9CE-1999-C942-95A4-D489D2998D85}">
      <text>
        <r>
          <rPr>
            <b/>
            <sz val="10"/>
            <color rgb="FF000000"/>
            <rFont val="Tahoma"/>
            <family val="2"/>
          </rPr>
          <t>Gurusharan:</t>
        </r>
        <r>
          <rPr>
            <sz val="10"/>
            <color rgb="FF000000"/>
            <rFont val="Tahoma"/>
            <family val="2"/>
          </rPr>
          <t xml:space="preserve">
</t>
        </r>
        <r>
          <rPr>
            <sz val="10"/>
            <color rgb="FF000000"/>
            <rFont val="Tahoma"/>
            <family val="2"/>
          </rPr>
          <t>FCF = CFO - CFInv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GLORIA (PGT)</author>
  </authors>
  <commentList>
    <comment ref="A9" authorId="0" shapeId="0" xr:uid="{CDFFDBA2-33E7-4E2F-8999-D2D1499989D8}">
      <text>
        <r>
          <rPr>
            <sz val="11"/>
            <color theme="1"/>
            <rFont val="Aptos Narrow"/>
            <family val="2"/>
            <scheme val="minor"/>
          </rPr>
          <t xml:space="preserve">., GLORIA (PGT):
Cost Of Revenue is negative in ARM case as it is not manufacturing and selling hardware so in this case it is calculated differently - includes design services and other things that helps to enable chip's manufacturing </t>
        </r>
      </text>
    </comment>
  </commentList>
</comments>
</file>

<file path=xl/sharedStrings.xml><?xml version="1.0" encoding="utf-8"?>
<sst xmlns="http://schemas.openxmlformats.org/spreadsheetml/2006/main" count="909" uniqueCount="338">
  <si>
    <t>TECHNOLOGY - SEMICONDUCTOR INDUSTRY</t>
  </si>
  <si>
    <t>Total Revenue</t>
  </si>
  <si>
    <t>Companies (in USD millions)</t>
  </si>
  <si>
    <t>2024</t>
  </si>
  <si>
    <t>2023</t>
  </si>
  <si>
    <t>2022</t>
  </si>
  <si>
    <t>2021</t>
  </si>
  <si>
    <t>2020</t>
  </si>
  <si>
    <t>AVG</t>
  </si>
  <si>
    <t>RANK</t>
  </si>
  <si>
    <t>NVIDIA</t>
  </si>
  <si>
    <t>AMD</t>
  </si>
  <si>
    <t>Qualcomm</t>
  </si>
  <si>
    <t>ARM</t>
  </si>
  <si>
    <t>TSMC</t>
  </si>
  <si>
    <t>Intel</t>
  </si>
  <si>
    <t>Revenue YoY Growth (%)</t>
  </si>
  <si>
    <t>Companies</t>
  </si>
  <si>
    <t>2024/23</t>
  </si>
  <si>
    <t>2023/22</t>
  </si>
  <si>
    <t>2022/21</t>
  </si>
  <si>
    <t>2021/20</t>
  </si>
  <si>
    <t>CAGR</t>
  </si>
  <si>
    <t>Total Cost of Sales</t>
  </si>
  <si>
    <t>Cost of Sales to Total Sales</t>
  </si>
  <si>
    <t>Operating Expenses to Total Sales</t>
  </si>
  <si>
    <t>OpEx YoY Growth (%)</t>
  </si>
  <si>
    <t>Research and Development (R&amp;D) Expenses to Total Sales</t>
  </si>
  <si>
    <t>Operating Profit Margin (%)</t>
  </si>
  <si>
    <t>YoY Operating Profit Margin Growth (%)</t>
  </si>
  <si>
    <t>Segmented Revenue Growth (%)</t>
  </si>
  <si>
    <t>YoY Segmented Revenue Growth (%)</t>
  </si>
  <si>
    <t>Data Center/AI</t>
  </si>
  <si>
    <t>NA</t>
  </si>
  <si>
    <t>Gaming/Graphics</t>
  </si>
  <si>
    <t>Gross Profit Margin (%)</t>
  </si>
  <si>
    <t>Consumer</t>
  </si>
  <si>
    <t>YoY Gross Profit Margin Growth (%)</t>
  </si>
  <si>
    <t>Embedded</t>
  </si>
  <si>
    <t>Automotive</t>
  </si>
  <si>
    <t>Net Profit Margin (%)</t>
  </si>
  <si>
    <t>YoY Net Profit Margin Growth (%)</t>
  </si>
  <si>
    <t>Free Cash Flow</t>
  </si>
  <si>
    <t>Free Cash Flow YoY Growth (%)</t>
  </si>
  <si>
    <t>Free Cash Flow to Total Sales</t>
  </si>
  <si>
    <t>RANKINGS</t>
  </si>
  <si>
    <t>QUALCOMM</t>
  </si>
  <si>
    <t>INTEL</t>
  </si>
  <si>
    <t>Revenue Growth</t>
  </si>
  <si>
    <t>Operating Margin</t>
  </si>
  <si>
    <t>Gross Profit Margin</t>
  </si>
  <si>
    <t>Net Profit Margin</t>
  </si>
  <si>
    <t>OVERALL</t>
  </si>
  <si>
    <t>Additional Metrics Comparison</t>
  </si>
  <si>
    <t>Total Operating Expenses</t>
  </si>
  <si>
    <t>Research and Development (R&amp;D) Expenses</t>
  </si>
  <si>
    <t>Net Income YoY Growth (%)</t>
  </si>
  <si>
    <t>INCOME STATEMENT (GAAP)</t>
  </si>
  <si>
    <t>Reporting Date</t>
  </si>
  <si>
    <t>Jan 28, 2024</t>
  </si>
  <si>
    <t>Jan 29, 2023</t>
  </si>
  <si>
    <t>Jan 30, 2022</t>
  </si>
  <si>
    <t>Jan 31, 2021</t>
  </si>
  <si>
    <t>Jan 26, 2020</t>
  </si>
  <si>
    <t>Item (M)</t>
  </si>
  <si>
    <t>Cost of Revenue</t>
  </si>
  <si>
    <t>Gross Profit</t>
  </si>
  <si>
    <t>Operating Income (EBIT)</t>
  </si>
  <si>
    <t>Operating Margin (%)</t>
  </si>
  <si>
    <t>Income Before Taxes</t>
  </si>
  <si>
    <t>Income Tax Expense (Benefit)</t>
  </si>
  <si>
    <t>Net Income</t>
  </si>
  <si>
    <t>BALANCE SHEET</t>
  </si>
  <si>
    <t>Balance Sheet Item (M)</t>
  </si>
  <si>
    <t>Cash &amp; Equivalents</t>
  </si>
  <si>
    <t>Total Current Assets</t>
  </si>
  <si>
    <t>Total Assets</t>
  </si>
  <si>
    <t>Total Current Liabilities</t>
  </si>
  <si>
    <t>Long-Term Debt</t>
  </si>
  <si>
    <t>Total Liabilities</t>
  </si>
  <si>
    <t>Total Shareholders' Equity</t>
  </si>
  <si>
    <t xml:space="preserve">CASH FLOW </t>
  </si>
  <si>
    <t>Cash Flow/Investing (M)</t>
  </si>
  <si>
    <t>Cash from Financial Activities</t>
  </si>
  <si>
    <t>Cash from Operating Activities (CFO)</t>
  </si>
  <si>
    <t>Cash from Investing Activities</t>
  </si>
  <si>
    <t>Free Cashflow</t>
  </si>
  <si>
    <t>INVESTING ACTIVITIES</t>
  </si>
  <si>
    <t>Investing (M)</t>
  </si>
  <si>
    <t>Purchases of PP&amp;E &amp; Intangibles (Capex/CFInv)</t>
  </si>
  <si>
    <t>Acquisitions, net of cash acquired</t>
  </si>
  <si>
    <t>OPERATIONAL EXPENSES BREAKDOWN</t>
  </si>
  <si>
    <t>Operating Expenses (M)</t>
  </si>
  <si>
    <t>Research and development (R&amp;D)</t>
  </si>
  <si>
    <t>Selling, general and administrative (SG&amp;A)</t>
  </si>
  <si>
    <t>Acquisition Termination Cost</t>
  </si>
  <si>
    <t>SEGMENT REVENUE DATA</t>
  </si>
  <si>
    <t>Segment Revenue (M)</t>
  </si>
  <si>
    <t>Data Center</t>
  </si>
  <si>
    <t>Gaming</t>
  </si>
  <si>
    <t>Professional Visualization</t>
  </si>
  <si>
    <t>OEM &amp; Other</t>
  </si>
  <si>
    <t>KEY FINANCIAL RATIOS</t>
  </si>
  <si>
    <t>Financial Ratios</t>
  </si>
  <si>
    <t>Gross Margin (%)</t>
  </si>
  <si>
    <t>Year-over-Year Financial Growth</t>
  </si>
  <si>
    <t>Financial Metric</t>
  </si>
  <si>
    <t>2020/19</t>
  </si>
  <si>
    <t>Revenue by geographic areas</t>
  </si>
  <si>
    <t>Region</t>
  </si>
  <si>
    <t>United States</t>
  </si>
  <si>
    <t>Taiwan</t>
  </si>
  <si>
    <t>China (including Hong Kong)</t>
  </si>
  <si>
    <t>Other Countries</t>
  </si>
  <si>
    <t>Total Revenue (Reported)</t>
  </si>
  <si>
    <t>ADVANCED MICRO DEVICES (AMD) INC</t>
  </si>
  <si>
    <t>Reporting date</t>
  </si>
  <si>
    <t>Dec 28, 2024</t>
  </si>
  <si>
    <t>Dec 30, 2023</t>
  </si>
  <si>
    <t>Dec 31, 2022</t>
  </si>
  <si>
    <t>Dec 25, 2021</t>
  </si>
  <si>
    <t>Dec 26, 2020</t>
  </si>
  <si>
    <t>Items (In $ Millions)</t>
  </si>
  <si>
    <t>Total Revenue (Sales)</t>
  </si>
  <si>
    <t xml:space="preserve">Total Cost of Sales </t>
  </si>
  <si>
    <t>Total Operating Expenses</t>
    <phoneticPr fontId="1" type="noConversion"/>
  </si>
  <si>
    <t>Operating Profit</t>
  </si>
  <si>
    <t>Other Income</t>
  </si>
  <si>
    <t>Interest expense</t>
  </si>
  <si>
    <t>Comprehensive Income</t>
    <phoneticPr fontId="1" type="noConversion"/>
  </si>
  <si>
    <t>Year-on-Year Change %</t>
  </si>
  <si>
    <t>Items</t>
  </si>
  <si>
    <t xml:space="preserve"> 2023/22</t>
  </si>
  <si>
    <t>Operating Profit (Loss)</t>
  </si>
  <si>
    <t>Long term growth %</t>
  </si>
  <si>
    <t>2024/20</t>
  </si>
  <si>
    <t>2023/20</t>
  </si>
  <si>
    <t>2022/20</t>
  </si>
  <si>
    <t>Operating margins go up steadily until 2021, then they decline drastically in 2022 and 2023 and finally recover a little in 2024. The decline is closely related to the increase in operating costs caused by the Xilinx acquisition. Although sales are still good, the additional costs will impact AMD's profit negatively in the short term. The slight increase in 2024 indicates the firm is gradually taking in these costs.</t>
  </si>
  <si>
    <t>Operating Expenses</t>
  </si>
  <si>
    <t>Research and development</t>
  </si>
  <si>
    <t>Marketing, general and administrative</t>
  </si>
  <si>
    <t>Amortization of acquisition-related intangibles</t>
  </si>
  <si>
    <t>Restructuring charges</t>
  </si>
  <si>
    <t>-</t>
  </si>
  <si>
    <t>Licensing gain</t>
  </si>
  <si>
    <t>Total</t>
  </si>
  <si>
    <t>Segmented Revenue Data</t>
  </si>
  <si>
    <t>Segments (in $ millions)</t>
  </si>
  <si>
    <t xml:space="preserve"> </t>
  </si>
  <si>
    <t>Client</t>
  </si>
  <si>
    <t>Investing Activities (CFInv)</t>
  </si>
  <si>
    <t>Purchases of property and equipment</t>
  </si>
  <si>
    <t>Cash received from acquisition of Xilinx</t>
  </si>
  <si>
    <t>Payments to acquire interest to subsidiaries and affliates</t>
  </si>
  <si>
    <t>Payments to acquire other investments</t>
  </si>
  <si>
    <t>Other</t>
  </si>
  <si>
    <t>Total CapEx</t>
  </si>
  <si>
    <t>Cash used in Investing Activities (CapEx/CFInv)</t>
  </si>
  <si>
    <t>Cash used in Financing Activities</t>
  </si>
  <si>
    <t>Over the five years, AMD has always spent cash on investing activities, but the pattern is a bit inconsistent. The highest point in 2022 represents the purchase of Xilinx and the associated expenses. Investments cash outflow has a pronounced decrease in 2023 and 2024 after the acquisition suggesting that AMD has already returned to a more routine cycle of capital investment. The investment pattern indicates high investments during the periods of strategic expansion, followed by stabilization through the years 2023 and 2024.</t>
  </si>
  <si>
    <t>Free Cash Flow (FCF)</t>
  </si>
  <si>
    <t>Key Financial Ratios</t>
  </si>
  <si>
    <t>Financial Metric (%)</t>
  </si>
  <si>
    <t>Gross Profit Margin</t>
    <phoneticPr fontId="1" type="noConversion"/>
  </si>
  <si>
    <t>Operating Margin</t>
    <phoneticPr fontId="1" type="noConversion"/>
  </si>
  <si>
    <t>Net Profit Margin</t>
    <phoneticPr fontId="1" type="noConversion"/>
  </si>
  <si>
    <t>Geographical Segmented Revenue</t>
  </si>
  <si>
    <t>Regions (in $ millions)</t>
  </si>
  <si>
    <t>FCF shows a dramatic increase in 2021, which is the result of high revenues and low capital intensity. After the year 2022, FCF turns into a more volatile stream where it will drop drastically in 2023 due to the combination of bad PC demand and increased costs. However, the situation improves in 2024 when the company gets the advantage of increased data center demand and improved cost control. Overall, AMD stays FCF-positive but the ups and downs reveal the extent to which the company is influenced by the market's ups and downs as well as big mergers and acquisitions.</t>
  </si>
  <si>
    <t>Singapore</t>
  </si>
  <si>
    <t>Japan</t>
  </si>
  <si>
    <t>Europe</t>
  </si>
  <si>
    <t>Other Regions</t>
  </si>
  <si>
    <t>Income Statement</t>
  </si>
  <si>
    <t>28th Sept 2024</t>
  </si>
  <si>
    <t>24th Sept 2023</t>
  </si>
  <si>
    <t>25th Sept 2022</t>
  </si>
  <si>
    <t>26th Sept 2021</t>
  </si>
  <si>
    <t>27th Sept 2020</t>
  </si>
  <si>
    <t>Item</t>
  </si>
  <si>
    <t>Total Revenues (Sales)</t>
  </si>
  <si>
    <t xml:space="preserve">Total Cost of Revenue </t>
  </si>
  <si>
    <t>Operating Profit (Loss) (EBIT)</t>
  </si>
  <si>
    <t>Other Income (expense), net</t>
  </si>
  <si>
    <t>(372)</t>
  </si>
  <si>
    <t>66</t>
  </si>
  <si>
    <t>(697)</t>
  </si>
  <si>
    <t>(694)</t>
  </si>
  <si>
    <t>(490)</t>
  </si>
  <si>
    <t>(559)</t>
  </si>
  <si>
    <t>(602)</t>
  </si>
  <si>
    <t>Comprehensive Income</t>
  </si>
  <si>
    <t>Total Revenue (In US millions)</t>
  </si>
  <si>
    <t xml:space="preserve"> 2024/23</t>
  </si>
  <si>
    <t>Depreciation and amortization expense</t>
  </si>
  <si>
    <t>Investing Activities (CapEx)</t>
  </si>
  <si>
    <t>Purchases of plant, property and equipment</t>
  </si>
  <si>
    <t>Purchases of debt and equity marketable securities</t>
  </si>
  <si>
    <t>Proceeds from sales and maturities of debt and equity marketable securities</t>
  </si>
  <si>
    <t>Acquisitions and other investments, net of cash acquired</t>
  </si>
  <si>
    <t>Proceeds from sales of property, plant and equipment</t>
  </si>
  <si>
    <t>Proceeds from other investments</t>
  </si>
  <si>
    <t>Other items</t>
  </si>
  <si>
    <t>Net cash provided by investing activities from discontinued operations</t>
  </si>
  <si>
    <t>Net cash (used) provided by investing activities</t>
  </si>
  <si>
    <t>Segments</t>
  </si>
  <si>
    <t>QCT</t>
  </si>
  <si>
    <t>Handsets</t>
  </si>
  <si>
    <t>IoT (internet of things)</t>
  </si>
  <si>
    <t>Total Revenues</t>
  </si>
  <si>
    <t>QTL</t>
  </si>
  <si>
    <t>Total Licensing revenues</t>
  </si>
  <si>
    <t>QSI</t>
  </si>
  <si>
    <t>Equipment and services revenues</t>
  </si>
  <si>
    <t>`</t>
  </si>
  <si>
    <t>INCOME STATEMENT</t>
  </si>
  <si>
    <t>FISCAL YEAR END</t>
  </si>
  <si>
    <t>31 March 2025</t>
  </si>
  <si>
    <t>31 March 2024</t>
  </si>
  <si>
    <t>31 March 2023</t>
  </si>
  <si>
    <t>31 March 2022</t>
  </si>
  <si>
    <t>31 March 2021</t>
  </si>
  <si>
    <t>FY2024</t>
  </si>
  <si>
    <t>FY2023</t>
  </si>
  <si>
    <t>FY2022</t>
  </si>
  <si>
    <t>FY2021</t>
  </si>
  <si>
    <t>FY2020</t>
  </si>
  <si>
    <t>CASH FLOW</t>
  </si>
  <si>
    <t>FREE CASH FLOW</t>
  </si>
  <si>
    <t>Net cash provided by (used for) financing activities</t>
  </si>
  <si>
    <t>Net cash provided by (used for) investing activities</t>
  </si>
  <si>
    <t>Net cash provided by (used for) operating activities</t>
  </si>
  <si>
    <t>Effect of foreign exchange rate changes on cash and cash equivalents</t>
  </si>
  <si>
    <t>Net increase (decrease) in cash and cash equivalents</t>
  </si>
  <si>
    <t>OPERATING EXPENSES</t>
  </si>
  <si>
    <t>Research and Development</t>
  </si>
  <si>
    <t xml:space="preserve"> Impairment Of Long Live Assets</t>
  </si>
  <si>
    <t> </t>
  </si>
  <si>
    <t>Selling,general and administrative</t>
  </si>
  <si>
    <t>Disposal , restructuring and other operating expense</t>
  </si>
  <si>
    <t>Operating Expense</t>
  </si>
  <si>
    <t>Purchase of plant ,property and equipment</t>
  </si>
  <si>
    <t>Purchase of intangible assets</t>
  </si>
  <si>
    <t>Investment In Associates</t>
  </si>
  <si>
    <t>Purchase Of trading investments</t>
  </si>
  <si>
    <t>Payments for financial assets</t>
  </si>
  <si>
    <t>TOTAL</t>
  </si>
  <si>
    <t>2025-24</t>
  </si>
  <si>
    <t>2024-23</t>
  </si>
  <si>
    <t>2023-22</t>
  </si>
  <si>
    <t>2022-21</t>
  </si>
  <si>
    <t>2021-20</t>
  </si>
  <si>
    <t>Gross Margin</t>
  </si>
  <si>
    <t>Profit Margin</t>
  </si>
  <si>
    <t>% Change</t>
  </si>
  <si>
    <t>Revenue</t>
  </si>
  <si>
    <t>Cost Of Sales</t>
  </si>
  <si>
    <t>GEOGRAPHICAL LOCATION</t>
  </si>
  <si>
    <t>UNITED STATES OF AMERICA</t>
  </si>
  <si>
    <t>PRC</t>
  </si>
  <si>
    <t>TAIWAN</t>
  </si>
  <si>
    <t>REPUBLIC OF KOREA</t>
  </si>
  <si>
    <t>OTHER</t>
  </si>
  <si>
    <t>Licensing and Other Revenues</t>
  </si>
  <si>
    <t>Royalty Revenue</t>
  </si>
  <si>
    <t>Royalty% of total</t>
  </si>
  <si>
    <t>Licensing and Other Revenues % of total</t>
  </si>
  <si>
    <t>&lt;IFRS&gt; (Unit: NT$ billion)</t>
  </si>
  <si>
    <t>Revenue (Total Sales)</t>
  </si>
  <si>
    <t>Cost of sales</t>
  </si>
  <si>
    <t>Gross profit</t>
  </si>
  <si>
    <t>Operating profit</t>
  </si>
  <si>
    <t>EBIDTA</t>
  </si>
  <si>
    <t>Profit before income taxes</t>
  </si>
  <si>
    <t>　</t>
  </si>
  <si>
    <t>Year-on-Year (%) Change</t>
  </si>
  <si>
    <t>FY2024-23</t>
  </si>
  <si>
    <t>FY2023-22</t>
  </si>
  <si>
    <t>FY2022-21</t>
  </si>
  <si>
    <t>FY2021-20</t>
  </si>
  <si>
    <t>R&amp;D ( research and development expenses)</t>
  </si>
  <si>
    <t>G&amp;A ( general and administrative expenses)</t>
  </si>
  <si>
    <t>Other operating income (loss), net</t>
  </si>
  <si>
    <t>Investing</t>
  </si>
  <si>
    <t>Property &amp; equipment</t>
  </si>
  <si>
    <t>Intangible assets</t>
  </si>
  <si>
    <t xml:space="preserve">Other </t>
  </si>
  <si>
    <t>Cash Flow Summary</t>
  </si>
  <si>
    <t>Cash Flow from Operating Activities (CFO)</t>
  </si>
  <si>
    <t>Cash Flow from Investing Activities (CFInv)</t>
  </si>
  <si>
    <t>Cash used in Financing Activities（CFF）</t>
  </si>
  <si>
    <t>Free Cash Flow (FCF = CFO - CFInv)</t>
  </si>
  <si>
    <t>Segmentation</t>
  </si>
  <si>
    <t>2024 (USD mn)</t>
  </si>
  <si>
    <t>2023 (USD mn)</t>
  </si>
  <si>
    <t>2022 (USD mn)</t>
  </si>
  <si>
    <t>2021 (USD mn)</t>
  </si>
  <si>
    <t>2020 (USD mn)</t>
  </si>
  <si>
    <t>High Performance Computing</t>
  </si>
  <si>
    <t>Smartphone</t>
  </si>
  <si>
    <t>Internet of Things</t>
  </si>
  <si>
    <t>DCE</t>
  </si>
  <si>
    <t>Others</t>
  </si>
  <si>
    <t xml:space="preserve"> Income Statement</t>
  </si>
  <si>
    <t>Financial Metrics</t>
  </si>
  <si>
    <t>Gross Profit Margin</t>
    <phoneticPr fontId="0" type="noConversion"/>
  </si>
  <si>
    <t>Total Operating Expenses</t>
    <phoneticPr fontId="0" type="noConversion"/>
  </si>
  <si>
    <t>Operating Margin</t>
    <phoneticPr fontId="0" type="noConversion"/>
  </si>
  <si>
    <t>Comprehensive Income</t>
    <phoneticPr fontId="0" type="noConversion"/>
  </si>
  <si>
    <t>Net Profit Margin</t>
    <phoneticPr fontId="0" type="noConversion"/>
  </si>
  <si>
    <t>Purchases and proceeds related to short-term investments</t>
  </si>
  <si>
    <t>Proceeds from divestitures / IPO / asset sales</t>
  </si>
  <si>
    <t xml:space="preserve">SEGMENTATION DATA </t>
  </si>
  <si>
    <t>Segment</t>
  </si>
  <si>
    <t>Data Center &amp; AI (DCAI)</t>
  </si>
  <si>
    <t>Client Computing (CCG)</t>
  </si>
  <si>
    <t>Network &amp; Edge (NEX)</t>
  </si>
  <si>
    <t>Intel Foundry Services (IFS)</t>
  </si>
  <si>
    <t>All other</t>
  </si>
  <si>
    <t>Total Intel (Consolidated)</t>
  </si>
  <si>
    <t>GEOGRAPHICAL DATA</t>
  </si>
  <si>
    <t>China (incl. Hong Kong)</t>
  </si>
  <si>
    <t>Other regions / countries</t>
  </si>
  <si>
    <t>Total Net Revenue</t>
  </si>
  <si>
    <t>A steadily growing revenue of AMD for the five years is observed which is supported by gradual increase in the sales cost. This means that AMD is doing really well in terms of quantity and quality and thus, its gross profit is getting higher. The highest revenue in 2023 is mainly attributed by the revenue coming from the company Xilinx, a major acquisition. 
In 2023 there was a little fluctuation but AMD managed to showcase a good revenue recovery in 2024.</t>
  </si>
  <si>
    <t>Total operating expenses surged threefold from 2020 to 2024. The primary reason for the large increase in operating expenses is the Xilinx acquisition added with its overheads. The decline in 2023 reveals some stabilization and cost-cutting activities, but OpEx rose again in 2024 as AMD's strategic focus shifted to AI and innovation-centered, thus activating its heavy R&amp;D spending. 
AMD's operating expenses grew by 263% in the period from 2020 to 2024.
The company is gradually changing its position from a small player to a large, multi-segment player in the technology industry.</t>
  </si>
  <si>
    <t>After 2022, operating expenses saw a dramatic increase. This was primarily due to major R&amp;D investments, higher adminsitrative costs, and a very significant rise in the amortization costs associated with the Xilinx acquisition. The graph quite vividly indicates that the purchase had a profound effect on AMD’s cost structure, so to speak, the company became heavier but at the same time, it was ready for the long-term innovation and the expansion into new markets.</t>
  </si>
  <si>
    <t>Net profit margin during the year 2020-2021 was very high but suddenly falls starting from 2022. The main reasons for the decrease are the high amortization, increased R&amp;D, and the market conditions. Margins do not go back to the same level as pre-acquisition phase even in 2024, hinting at the long-term financial effect of Xilinx. Nevertheless, the upward trend in recovery suggests better stability.</t>
  </si>
  <si>
    <t>Gross margins are seen consistently stable and still in a good range all throughout the five years, where they are within the range of 40-50%. This illustrates that the main activity of AMD has not been affected by the market fluctuations and still being competitive. The slowly transitioning up in 2024 points at a better product mix (high-margin from data-center segment) and better pricing.</t>
  </si>
  <si>
    <t>The cash flow from operations (CFO) trend shows an increase up to 2022, a decrease in 2023, and finally again a rise in 2024 — it is thus reflecting business cycles.
On the other hand, cash outflows for investing activities (CFInv) soar in 2022 (acquisiton of Xilinx) but become less significant afterwards, which in turn positively affects cash sustainability.
Cash flow used for financing was characterized by large outflows in 2022-2023, which were indicative of debt repayments and adjustments related to acquisition.
Free cash flow goes along with the general trend of CFO but drops significantly in the expensive years.
Hence, the pattern indicates that AMD continues to be financially sustainable and in GROWTH stage and regained its strength by 2024.</t>
  </si>
  <si>
    <t>The Data Center has emerged as the most powerful growth driver, with a tremendous increase in 2024, and surpassing all the other segments. The Client revenue sees a small recovery in 2024, after a post-pandemic dip in 2022-2023, which is indicative of a stable PC market. Gaming reached the highest revenue in 2022 and then it was declining till the end of 2024. Embedded, with Xilinx's support, peaks in 2022 and 2023, then it calms down in 2024.
This transition reveals that AMD is tactically moving from consumer to premium enterprise and AI premises.</t>
  </si>
  <si>
    <t>by Geetanjali Jorige</t>
  </si>
  <si>
    <t>by Gurusharan Kannan</t>
  </si>
  <si>
    <t>by Manav Dharora</t>
  </si>
  <si>
    <t>by Gloria</t>
  </si>
  <si>
    <t>by Alperen Onal</t>
  </si>
  <si>
    <t>by Ting Hsuan Huang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</si>
</sst>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67" x14ac:knownFonts="1">
    <font>
      <sz val="11"/>
      <color theme="1"/>
      <name val="Aptos Narrow"/>
      <family val="2"/>
      <scheme val="minor"/>
    </font>
    <font>
      <sz val="11"/>
      <color theme="1"/>
      <name val="Aptos Narrow"/>
      <family val="2"/>
      <scheme val="minor"/>
    </font>
    <font>
      <sz val="11"/>
      <color theme="1"/>
      <name val="Aptos Narrow"/>
      <family val="2"/>
      <scheme val="minor"/>
    </font>
    <font>
      <b/>
      <sz val="12"/>
      <color theme="0"/>
      <name val="Arial"/>
      <family val="2"/>
    </font>
    <font>
      <b/>
      <sz val="10"/>
      <color theme="0"/>
      <name val="Arial"/>
      <family val="2"/>
    </font>
    <font>
      <sz val="11"/>
      <color theme="1"/>
      <name val="Arial"/>
      <family val="2"/>
    </font>
    <font>
      <sz val="11"/>
      <name val="Arial"/>
      <family val="2"/>
    </font>
    <font>
      <sz val="11"/>
      <color rgb="FF00B050"/>
      <name val="Arial"/>
      <family val="2"/>
    </font>
    <font>
      <sz val="11"/>
      <color rgb="FFFF0000"/>
      <name val="Arial"/>
      <family val="2"/>
    </font>
    <font>
      <sz val="10"/>
      <name val="Calibri"/>
      <family val="2"/>
    </font>
    <font>
      <sz val="10"/>
      <color rgb="FF000000"/>
      <name val="Calibri"/>
      <family val="2"/>
    </font>
    <font>
      <sz val="10"/>
      <color rgb="FFFF0000"/>
      <name val="Calibri"/>
      <family val="2"/>
    </font>
    <font>
      <b/>
      <sz val="11"/>
      <color theme="1"/>
      <name val="Aptos Narrow"/>
      <family val="2"/>
      <scheme val="minor"/>
    </font>
    <font>
      <i/>
      <sz val="11"/>
      <color theme="1"/>
      <name val="Aptos Narrow"/>
      <family val="2"/>
      <scheme val="minor"/>
    </font>
    <font>
      <b/>
      <sz val="11"/>
      <color theme="1"/>
      <name val="Aptos Narrow"/>
      <family val="2"/>
      <scheme val="minor"/>
    </font>
    <font>
      <b/>
      <sz val="11"/>
      <color theme="1"/>
      <name val="ADLaM Display"/>
    </font>
    <font>
      <b/>
      <sz val="11"/>
      <color rgb="FFFFFFFF"/>
      <name val="ADLaM Display"/>
    </font>
    <font>
      <sz val="11"/>
      <color theme="1"/>
      <name val="ADLaM Display"/>
    </font>
    <font>
      <b/>
      <sz val="14"/>
      <color theme="1"/>
      <name val="ADLaM Display"/>
    </font>
    <font>
      <b/>
      <sz val="11"/>
      <color rgb="FF1B1C1D"/>
      <name val="ADLaM Display"/>
    </font>
    <font>
      <sz val="11"/>
      <color rgb="FF1B1C1D"/>
      <name val="ADLaM Display"/>
    </font>
    <font>
      <sz val="11"/>
      <color rgb="FFFFFFFF"/>
      <name val="ADLaM Display"/>
    </font>
    <font>
      <sz val="11"/>
      <color theme="0"/>
      <name val="ADLaM Display"/>
    </font>
    <font>
      <b/>
      <sz val="11"/>
      <color theme="1"/>
      <name val="Arial"/>
      <family val="2"/>
    </font>
    <font>
      <b/>
      <sz val="11"/>
      <name val="Arial"/>
      <family val="2"/>
    </font>
    <font>
      <sz val="12"/>
      <color theme="1"/>
      <name val="Aptos Narrow"/>
      <family val="2"/>
      <scheme val="minor"/>
    </font>
    <font>
      <sz val="8"/>
      <name val="Aptos Narrow"/>
      <family val="2"/>
      <scheme val="minor"/>
    </font>
    <font>
      <b/>
      <sz val="14"/>
      <color theme="0"/>
      <name val="Arial"/>
      <family val="2"/>
    </font>
    <font>
      <sz val="11"/>
      <color theme="0"/>
      <name val="Aptos Narrow"/>
      <family val="2"/>
      <scheme val="minor"/>
    </font>
    <font>
      <sz val="11"/>
      <color rgb="FF000000"/>
      <name val="Aptos Narrow"/>
      <family val="2"/>
      <scheme val="minor"/>
    </font>
    <font>
      <sz val="24"/>
      <color theme="1"/>
      <name val="Aptos Narrow"/>
      <family val="2"/>
      <scheme val="minor"/>
    </font>
    <font>
      <b/>
      <sz val="10"/>
      <color rgb="FF000000"/>
      <name val="Tahoma"/>
      <family val="2"/>
    </font>
    <font>
      <sz val="10"/>
      <color rgb="FF000000"/>
      <name val="Tahoma"/>
      <family val="2"/>
    </font>
    <font>
      <sz val="11"/>
      <color rgb="FF00B050"/>
      <name val="Aptos Narrow"/>
      <family val="2"/>
      <scheme val="minor"/>
    </font>
    <font>
      <sz val="11"/>
      <color theme="0"/>
      <name val="Arial"/>
      <family val="2"/>
    </font>
    <font>
      <b/>
      <sz val="11"/>
      <color theme="0"/>
      <name val="Aptos Narrow"/>
      <family val="2"/>
      <scheme val="minor"/>
    </font>
    <font>
      <b/>
      <sz val="11"/>
      <color theme="0"/>
      <name val="ADLaM Display"/>
    </font>
    <font>
      <sz val="11"/>
      <color rgb="FFFFFFFF"/>
      <name val="Arial"/>
      <family val="2"/>
    </font>
    <font>
      <sz val="10"/>
      <color rgb="FF111827"/>
      <name val="Arial"/>
      <family val="2"/>
    </font>
    <font>
      <sz val="10"/>
      <color theme="1"/>
      <name val="Arial"/>
      <family val="2"/>
    </font>
    <font>
      <sz val="10"/>
      <color rgb="FF000000"/>
      <name val="Arial"/>
      <family val="2"/>
    </font>
    <font>
      <b/>
      <sz val="11"/>
      <color rgb="FFFFFFFF"/>
      <name val="Arial"/>
      <family val="2"/>
    </font>
    <font>
      <sz val="11"/>
      <color rgb="FF000000"/>
      <name val="Arial"/>
      <family val="2"/>
    </font>
    <font>
      <sz val="9"/>
      <color rgb="FF111827"/>
      <name val="Arial"/>
      <family val="2"/>
    </font>
    <font>
      <b/>
      <sz val="11"/>
      <color theme="0"/>
      <name val="Arial"/>
      <family val="2"/>
    </font>
    <font>
      <b/>
      <sz val="18"/>
      <color theme="1"/>
      <name val="Aptos Narrow"/>
      <scheme val="minor"/>
    </font>
    <font>
      <sz val="11"/>
      <color theme="1"/>
      <name val="Times New Roman"/>
      <family val="1"/>
    </font>
    <font>
      <b/>
      <sz val="12"/>
      <color theme="0"/>
      <name val="Times New Roman"/>
      <family val="1"/>
    </font>
    <font>
      <b/>
      <sz val="11"/>
      <color theme="1"/>
      <name val="Times New Roman"/>
      <family val="1"/>
    </font>
    <font>
      <sz val="11"/>
      <name val="Times New Roman"/>
      <family val="1"/>
    </font>
    <font>
      <sz val="11"/>
      <color rgb="FF111827"/>
      <name val="Times New Roman"/>
      <family val="1"/>
    </font>
    <font>
      <b/>
      <sz val="12"/>
      <color theme="1"/>
      <name val="Times New Roman"/>
      <family val="1"/>
    </font>
    <font>
      <sz val="18"/>
      <color theme="1"/>
      <name val="Aptos Narrow"/>
      <family val="2"/>
      <scheme val="minor"/>
    </font>
    <font>
      <b/>
      <sz val="10"/>
      <color theme="0"/>
      <name val="Calibri"/>
      <family val="2"/>
    </font>
    <font>
      <sz val="10"/>
      <color theme="0"/>
      <name val="Calibri"/>
      <family val="2"/>
    </font>
    <font>
      <b/>
      <sz val="12"/>
      <color theme="1"/>
      <name val="Aptos Narrow"/>
      <scheme val="minor"/>
    </font>
    <font>
      <b/>
      <sz val="11"/>
      <color theme="1"/>
      <name val="Aptos Narrow"/>
      <scheme val="minor"/>
    </font>
    <font>
      <b/>
      <sz val="11"/>
      <color rgb="FF000000"/>
      <name val="Arial"/>
      <family val="2"/>
    </font>
    <font>
      <b/>
      <sz val="11"/>
      <color theme="0"/>
      <name val="Times New Roman"/>
      <family val="1"/>
    </font>
    <font>
      <sz val="11"/>
      <color rgb="FF000000"/>
      <name val="Aptos Narrow"/>
      <family val="2"/>
    </font>
    <font>
      <b/>
      <sz val="72"/>
      <color theme="0"/>
      <name val="ADLaM Display"/>
    </font>
    <font>
      <b/>
      <sz val="26"/>
      <color theme="1"/>
      <name val="Aptos Narrow (Body)"/>
    </font>
    <font>
      <sz val="26"/>
      <color theme="1"/>
      <name val="Aptos Narrow"/>
      <family val="2"/>
      <scheme val="minor"/>
    </font>
    <font>
      <b/>
      <sz val="36"/>
      <color theme="1"/>
      <name val="Aptos Narrow"/>
      <family val="2"/>
      <scheme val="minor"/>
    </font>
    <font>
      <b/>
      <sz val="10"/>
      <color theme="1"/>
      <name val="Arial"/>
      <family val="2"/>
    </font>
    <font>
      <b/>
      <sz val="24"/>
      <color theme="1"/>
      <name val="Times New Roman"/>
      <family val="1"/>
    </font>
    <font>
      <b/>
      <sz val="20"/>
      <color theme="1"/>
      <name val="Aptos Narrow (Body)"/>
    </font>
  </fonts>
  <fills count="32">
    <fill>
      <patternFill patternType="none"/>
    </fill>
    <fill>
      <patternFill patternType="gray125"/>
    </fill>
    <fill>
      <patternFill patternType="solid">
        <fgColor theme="4"/>
        <bgColor indexed="64"/>
      </patternFill>
    </fill>
    <fill>
      <patternFill patternType="solid">
        <fgColor theme="3"/>
        <bgColor indexed="64"/>
      </patternFill>
    </fill>
    <fill>
      <patternFill patternType="solid">
        <fgColor theme="2" tint="-9.9978637043366805E-2"/>
        <bgColor indexed="64"/>
      </patternFill>
    </fill>
    <fill>
      <patternFill patternType="solid">
        <fgColor theme="0"/>
        <bgColor rgb="FF000000"/>
      </patternFill>
    </fill>
    <fill>
      <patternFill patternType="solid">
        <fgColor theme="0"/>
        <bgColor indexed="64"/>
      </patternFill>
    </fill>
    <fill>
      <patternFill patternType="solid">
        <fgColor theme="9" tint="0.59999389629810485"/>
        <bgColor indexed="65"/>
      </patternFill>
    </fill>
    <fill>
      <patternFill patternType="solid">
        <fgColor theme="4" tint="-0.499984740745262"/>
        <bgColor indexed="64"/>
      </patternFill>
    </fill>
    <fill>
      <patternFill patternType="solid">
        <fgColor theme="9" tint="0.39997558519241921"/>
        <bgColor indexed="64"/>
      </patternFill>
    </fill>
    <fill>
      <patternFill patternType="solid">
        <fgColor theme="9"/>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2"/>
        <bgColor indexed="64"/>
      </patternFill>
    </fill>
    <fill>
      <patternFill patternType="solid">
        <fgColor rgb="FF00B0F0"/>
        <bgColor indexed="64"/>
      </patternFill>
    </fill>
    <fill>
      <patternFill patternType="solid">
        <fgColor theme="4" tint="0.39997558519241921"/>
        <bgColor indexed="64"/>
      </patternFill>
    </fill>
    <fill>
      <patternFill patternType="solid">
        <fgColor rgb="FFA5A5A5"/>
      </patternFill>
    </fill>
    <fill>
      <patternFill patternType="solid">
        <fgColor theme="9" tint="0.59999389629810485"/>
        <bgColor indexed="64"/>
      </patternFill>
    </fill>
    <fill>
      <patternFill patternType="solid">
        <fgColor theme="3" tint="0.749992370372631"/>
        <bgColor indexed="64"/>
      </patternFill>
    </fill>
    <fill>
      <patternFill patternType="solid">
        <fgColor theme="6" tint="-0.249977111117893"/>
        <bgColor indexed="64"/>
      </patternFill>
    </fill>
    <fill>
      <patternFill patternType="solid">
        <fgColor rgb="FFC00000"/>
        <bgColor indexed="64"/>
      </patternFill>
    </fill>
    <fill>
      <patternFill patternType="solid">
        <fgColor rgb="FF7EB5D3"/>
        <bgColor indexed="64"/>
      </patternFill>
    </fill>
    <fill>
      <patternFill patternType="solid">
        <fgColor theme="3" tint="0.499984740745262"/>
        <bgColor indexed="64"/>
      </patternFill>
    </fill>
    <fill>
      <patternFill patternType="solid">
        <fgColor rgb="FFFFC000"/>
        <bgColor indexed="64"/>
      </patternFill>
    </fill>
    <fill>
      <patternFill patternType="solid">
        <fgColor rgb="FFAB7942"/>
        <bgColor indexed="64"/>
      </patternFill>
    </fill>
    <fill>
      <patternFill patternType="solid">
        <fgColor theme="7"/>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9" tint="-0.249977111117893"/>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1B1C1D"/>
      </left>
      <right style="thin">
        <color rgb="FF1B1C1D"/>
      </right>
      <top style="thin">
        <color rgb="FF1B1C1D"/>
      </top>
      <bottom style="thin">
        <color rgb="FF1B1C1D"/>
      </bottom>
      <diagonal/>
    </border>
    <border>
      <left style="medium">
        <color rgb="FF000000"/>
      </left>
      <right style="double">
        <color rgb="FF3F3F3F"/>
      </right>
      <top style="double">
        <color rgb="FF3F3F3F"/>
      </top>
      <bottom style="double">
        <color rgb="FF3F3F3F"/>
      </bottom>
      <diagonal/>
    </border>
    <border>
      <left style="medium">
        <color rgb="FF000000"/>
      </left>
      <right style="double">
        <color rgb="FF3F3F3F"/>
      </right>
      <top style="double">
        <color rgb="FF3F3F3F"/>
      </top>
      <bottom style="medium">
        <color rgb="FF000000"/>
      </bottom>
      <diagonal/>
    </border>
    <border>
      <left style="double">
        <color rgb="FF3F3F3F"/>
      </left>
      <right style="double">
        <color rgb="FF3F3F3F"/>
      </right>
      <top style="double">
        <color rgb="FF3F3F3F"/>
      </top>
      <bottom style="medium">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double">
        <color rgb="FF3F3F3F"/>
      </right>
      <top/>
      <bottom style="double">
        <color rgb="FF3F3F3F"/>
      </bottom>
      <diagonal/>
    </border>
    <border>
      <left style="double">
        <color rgb="FF3F3F3F"/>
      </left>
      <right style="double">
        <color rgb="FF3F3F3F"/>
      </right>
      <top/>
      <bottom style="double">
        <color rgb="FF3F3F3F"/>
      </bottom>
      <diagonal/>
    </border>
    <border>
      <left style="thin">
        <color indexed="64"/>
      </left>
      <right style="thin">
        <color indexed="64"/>
      </right>
      <top style="thin">
        <color indexed="64"/>
      </top>
      <bottom style="double">
        <color indexed="64"/>
      </bottom>
      <diagonal/>
    </border>
    <border>
      <left/>
      <right/>
      <top/>
      <bottom style="double">
        <color rgb="FF3F3F3F"/>
      </bottom>
      <diagonal/>
    </border>
    <border>
      <left style="thin">
        <color rgb="FF1B1C1D"/>
      </left>
      <right/>
      <top/>
      <bottom style="thin">
        <color rgb="FF1B1C1D"/>
      </bottom>
      <diagonal/>
    </border>
    <border>
      <left/>
      <right/>
      <top/>
      <bottom style="thin">
        <color rgb="FF1B1C1D"/>
      </bottom>
      <diagonal/>
    </border>
    <border>
      <left/>
      <right style="thin">
        <color rgb="FF1B1C1D"/>
      </right>
      <top/>
      <bottom style="thin">
        <color rgb="FF1B1C1D"/>
      </bottom>
      <diagonal/>
    </border>
    <border>
      <left/>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14" fillId="0" borderId="7" applyNumberFormat="0" applyFill="0" applyAlignment="0" applyProtection="0"/>
    <xf numFmtId="0" fontId="1" fillId="7" borderId="0" applyNumberFormat="0" applyBorder="0" applyAlignment="0" applyProtection="0"/>
    <xf numFmtId="0" fontId="25" fillId="0" borderId="0"/>
    <xf numFmtId="9" fontId="25" fillId="0" borderId="0" applyFont="0" applyFill="0" applyBorder="0" applyAlignment="0" applyProtection="0"/>
    <xf numFmtId="43" fontId="25" fillId="0" borderId="0" applyFont="0" applyFill="0" applyBorder="0" applyAlignment="0" applyProtection="0"/>
    <xf numFmtId="0" fontId="35" fillId="16" borderId="6" applyNumberFormat="0" applyAlignment="0" applyProtection="0"/>
  </cellStyleXfs>
  <cellXfs count="298">
    <xf numFmtId="0" fontId="0" fillId="0" borderId="0" xfId="0"/>
    <xf numFmtId="0" fontId="4" fillId="3" borderId="5" xfId="0" applyFont="1" applyFill="1" applyBorder="1" applyAlignment="1">
      <alignment vertical="center"/>
    </xf>
    <xf numFmtId="0" fontId="5" fillId="4" borderId="4" xfId="0" applyFont="1" applyFill="1" applyBorder="1" applyAlignment="1">
      <alignment vertical="center"/>
    </xf>
    <xf numFmtId="164" fontId="6" fillId="5" borderId="4" xfId="1" applyNumberFormat="1" applyFont="1" applyFill="1" applyBorder="1" applyAlignment="1">
      <alignment horizontal="right" vertical="center"/>
    </xf>
    <xf numFmtId="164" fontId="0" fillId="6" borderId="4" xfId="1" applyNumberFormat="1" applyFont="1" applyFill="1" applyBorder="1"/>
    <xf numFmtId="164" fontId="6" fillId="6" borderId="4" xfId="1" applyNumberFormat="1" applyFont="1" applyFill="1" applyBorder="1" applyAlignment="1">
      <alignment horizontal="right" vertical="center"/>
    </xf>
    <xf numFmtId="164" fontId="0" fillId="0" borderId="0" xfId="0" applyNumberFormat="1"/>
    <xf numFmtId="0" fontId="9" fillId="0" borderId="0" xfId="0" applyFont="1" applyAlignment="1">
      <alignment horizontal="left" wrapText="1"/>
    </xf>
    <xf numFmtId="0" fontId="9" fillId="0" borderId="0" xfId="0" applyFont="1" applyAlignment="1">
      <alignment horizontal="left"/>
    </xf>
    <xf numFmtId="0" fontId="10" fillId="0" borderId="0" xfId="0" applyFont="1" applyAlignment="1">
      <alignment horizontal="left"/>
    </xf>
    <xf numFmtId="0" fontId="0" fillId="0" borderId="0" xfId="0" applyAlignment="1">
      <alignment horizontal="left"/>
    </xf>
    <xf numFmtId="0" fontId="12" fillId="0" borderId="0" xfId="0" applyFont="1"/>
    <xf numFmtId="0" fontId="13" fillId="0" borderId="0" xfId="0" applyFont="1"/>
    <xf numFmtId="0" fontId="17" fillId="9" borderId="9" xfId="4" applyFont="1" applyFill="1" applyBorder="1" applyAlignment="1">
      <alignment readingOrder="1"/>
    </xf>
    <xf numFmtId="0" fontId="17" fillId="9" borderId="10" xfId="4" applyFont="1" applyFill="1" applyBorder="1" applyAlignment="1">
      <alignment readingOrder="1"/>
    </xf>
    <xf numFmtId="0" fontId="17" fillId="0" borderId="0" xfId="0" applyFont="1" applyAlignment="1">
      <alignment horizontal="center"/>
    </xf>
    <xf numFmtId="0" fontId="17" fillId="0" borderId="0" xfId="0" applyFont="1"/>
    <xf numFmtId="0" fontId="17" fillId="0" borderId="0" xfId="0" applyFont="1" applyAlignment="1">
      <alignment wrapText="1"/>
    </xf>
    <xf numFmtId="0" fontId="17" fillId="10" borderId="6" xfId="4" applyFont="1" applyFill="1" applyBorder="1" applyAlignment="1">
      <alignment wrapText="1" readingOrder="1"/>
    </xf>
    <xf numFmtId="0" fontId="17" fillId="9" borderId="6" xfId="4" applyFont="1" applyFill="1" applyBorder="1" applyAlignment="1">
      <alignment readingOrder="1"/>
    </xf>
    <xf numFmtId="0" fontId="17" fillId="10" borderId="6" xfId="4" applyFont="1" applyFill="1" applyBorder="1" applyAlignment="1">
      <alignment readingOrder="1"/>
    </xf>
    <xf numFmtId="0" fontId="19" fillId="10" borderId="8" xfId="0" applyFont="1" applyFill="1" applyBorder="1" applyAlignment="1">
      <alignment readingOrder="1"/>
    </xf>
    <xf numFmtId="0" fontId="20" fillId="9" borderId="8" xfId="0" applyFont="1" applyFill="1" applyBorder="1" applyAlignment="1">
      <alignment readingOrder="1"/>
    </xf>
    <xf numFmtId="0" fontId="17" fillId="9" borderId="8" xfId="4" applyFont="1" applyFill="1" applyBorder="1" applyAlignment="1">
      <alignment readingOrder="1"/>
    </xf>
    <xf numFmtId="0" fontId="17" fillId="10" borderId="8" xfId="4" applyFont="1" applyFill="1" applyBorder="1" applyAlignment="1">
      <alignment readingOrder="1"/>
    </xf>
    <xf numFmtId="10" fontId="17" fillId="7" borderId="6" xfId="4" applyNumberFormat="1" applyFont="1" applyBorder="1" applyAlignment="1">
      <alignment horizontal="center" readingOrder="1"/>
    </xf>
    <xf numFmtId="164" fontId="24" fillId="6" borderId="4" xfId="1" applyNumberFormat="1" applyFont="1" applyFill="1" applyBorder="1" applyAlignment="1">
      <alignment horizontal="right" vertical="center"/>
    </xf>
    <xf numFmtId="0" fontId="23" fillId="4" borderId="4" xfId="0" applyFont="1" applyFill="1" applyBorder="1" applyAlignment="1">
      <alignment vertical="center"/>
    </xf>
    <xf numFmtId="164" fontId="0" fillId="0" borderId="4" xfId="1" applyNumberFormat="1" applyFont="1" applyBorder="1"/>
    <xf numFmtId="0" fontId="5" fillId="12" borderId="4" xfId="5" applyFont="1" applyFill="1" applyBorder="1" applyAlignment="1">
      <alignment vertical="center"/>
    </xf>
    <xf numFmtId="3" fontId="0" fillId="0" borderId="0" xfId="0" applyNumberFormat="1"/>
    <xf numFmtId="9" fontId="0" fillId="0" borderId="0" xfId="0" applyNumberFormat="1"/>
    <xf numFmtId="49" fontId="0" fillId="0" borderId="0" xfId="0" applyNumberFormat="1" applyAlignment="1">
      <alignment horizontal="right"/>
    </xf>
    <xf numFmtId="3" fontId="0" fillId="0" borderId="4" xfId="0" applyNumberFormat="1" applyBorder="1"/>
    <xf numFmtId="0" fontId="0" fillId="0" borderId="4" xfId="0" applyBorder="1"/>
    <xf numFmtId="9" fontId="7" fillId="5" borderId="4" xfId="6" applyFont="1" applyFill="1" applyBorder="1" applyAlignment="1">
      <alignment horizontal="right" vertical="center"/>
    </xf>
    <xf numFmtId="9" fontId="8" fillId="5" borderId="4" xfId="6" applyFont="1" applyFill="1" applyBorder="1" applyAlignment="1">
      <alignment horizontal="right" vertical="center"/>
    </xf>
    <xf numFmtId="164" fontId="6" fillId="6" borderId="4" xfId="7" applyNumberFormat="1" applyFont="1" applyFill="1" applyBorder="1" applyAlignment="1">
      <alignment horizontal="right" vertical="center"/>
    </xf>
    <xf numFmtId="164" fontId="6" fillId="6" borderId="4" xfId="7" applyNumberFormat="1" applyFont="1" applyFill="1" applyBorder="1" applyAlignment="1">
      <alignment horizontal="center"/>
    </xf>
    <xf numFmtId="0" fontId="25" fillId="0" borderId="0" xfId="5"/>
    <xf numFmtId="0" fontId="5" fillId="12" borderId="4" xfId="5" applyFont="1" applyFill="1" applyBorder="1" applyAlignment="1">
      <alignment vertical="center"/>
      <extLst>
        <ext xmlns:xfpb="http://schemas.microsoft.com/office/spreadsheetml/2022/featurepropertybag" uri="{C7286773-470A-42A8-94C5-96B5CB345126}">
          <xfpb:xfComplement i="0"/>
        </ext>
      </extLst>
    </xf>
    <xf numFmtId="164" fontId="6" fillId="6" borderId="4" xfId="7" applyNumberFormat="1" applyFont="1" applyFill="1" applyBorder="1" applyAlignment="1">
      <alignment horizontal="right" vertical="center"/>
      <extLst>
        <ext xmlns:xfpb="http://schemas.microsoft.com/office/spreadsheetml/2022/featurepropertybag" uri="{C7286773-470A-42A8-94C5-96B5CB345126}">
          <xfpb:xfComplement i="0"/>
        </ext>
      </extLst>
    </xf>
    <xf numFmtId="9" fontId="5" fillId="5" borderId="2" xfId="2" applyFont="1" applyFill="1" applyBorder="1" applyAlignment="1">
      <alignment horizontal="right" vertical="center"/>
    </xf>
    <xf numFmtId="9" fontId="8" fillId="5" borderId="2" xfId="2" applyFont="1" applyFill="1" applyBorder="1" applyAlignment="1">
      <alignment horizontal="right" vertical="center"/>
    </xf>
    <xf numFmtId="9" fontId="5" fillId="5" borderId="3" xfId="2" applyFont="1" applyFill="1" applyBorder="1" applyAlignment="1">
      <alignment horizontal="right" vertical="center"/>
    </xf>
    <xf numFmtId="0" fontId="5" fillId="0" borderId="1" xfId="0" applyFont="1" applyBorder="1" applyAlignment="1">
      <alignment vertical="center"/>
    </xf>
    <xf numFmtId="9" fontId="5" fillId="0" borderId="2" xfId="2" applyFont="1" applyFill="1" applyBorder="1" applyAlignment="1">
      <alignment horizontal="right" vertical="center"/>
    </xf>
    <xf numFmtId="0" fontId="4" fillId="3" borderId="5" xfId="0" applyFont="1" applyFill="1" applyBorder="1" applyAlignment="1">
      <alignment horizontal="right" vertical="center"/>
    </xf>
    <xf numFmtId="14" fontId="4" fillId="2" borderId="4" xfId="0" applyNumberFormat="1" applyFont="1" applyFill="1" applyBorder="1" applyAlignment="1">
      <alignment vertical="center"/>
    </xf>
    <xf numFmtId="0" fontId="29" fillId="0" borderId="0" xfId="0" applyFont="1"/>
    <xf numFmtId="164" fontId="12" fillId="0" borderId="4" xfId="1" applyNumberFormat="1" applyFont="1" applyBorder="1"/>
    <xf numFmtId="0" fontId="17" fillId="9" borderId="0" xfId="4" applyFont="1" applyFill="1" applyBorder="1" applyAlignment="1">
      <alignment readingOrder="1"/>
    </xf>
    <xf numFmtId="0" fontId="30" fillId="0" borderId="0" xfId="0" applyFont="1"/>
    <xf numFmtId="9" fontId="33" fillId="0" borderId="0" xfId="0" applyNumberFormat="1" applyFont="1"/>
    <xf numFmtId="0" fontId="28" fillId="11" borderId="4" xfId="0" applyFont="1" applyFill="1" applyBorder="1"/>
    <xf numFmtId="0" fontId="0" fillId="12" borderId="4" xfId="0" applyFill="1" applyBorder="1"/>
    <xf numFmtId="0" fontId="36" fillId="3" borderId="6" xfId="8" applyFont="1" applyFill="1" applyAlignment="1">
      <alignment horizontal="center"/>
    </xf>
    <xf numFmtId="0" fontId="15" fillId="10" borderId="6" xfId="8" applyFont="1" applyFill="1" applyAlignment="1">
      <alignment horizontal="left" vertical="center" wrapText="1" indent="1" readingOrder="1"/>
    </xf>
    <xf numFmtId="0" fontId="0" fillId="0" borderId="0" xfId="0" applyAlignment="1">
      <alignment vertical="center"/>
    </xf>
    <xf numFmtId="0" fontId="0" fillId="0" borderId="0" xfId="0" applyAlignment="1">
      <alignment vertical="top" wrapText="1"/>
    </xf>
    <xf numFmtId="0" fontId="0" fillId="0" borderId="0" xfId="0" applyAlignment="1">
      <alignment vertical="center" wrapText="1"/>
    </xf>
    <xf numFmtId="0" fontId="17" fillId="9" borderId="25" xfId="4" applyFont="1" applyFill="1" applyBorder="1" applyAlignment="1">
      <alignment readingOrder="1"/>
    </xf>
    <xf numFmtId="0" fontId="15" fillId="0" borderId="0" xfId="3" applyFont="1" applyFill="1" applyBorder="1"/>
    <xf numFmtId="0" fontId="15" fillId="0" borderId="0" xfId="3" applyFont="1" applyFill="1" applyBorder="1" applyAlignment="1">
      <alignment wrapText="1"/>
    </xf>
    <xf numFmtId="0" fontId="18" fillId="0" borderId="0" xfId="3" applyFont="1" applyFill="1" applyBorder="1" applyAlignment="1">
      <alignment wrapText="1"/>
    </xf>
    <xf numFmtId="0" fontId="17" fillId="10" borderId="27" xfId="4" applyFont="1" applyFill="1" applyBorder="1" applyAlignment="1">
      <alignment wrapText="1" readingOrder="1"/>
    </xf>
    <xf numFmtId="0" fontId="17" fillId="10" borderId="27" xfId="4" applyFont="1" applyFill="1" applyBorder="1" applyAlignment="1">
      <alignment horizontal="center" wrapText="1" readingOrder="1"/>
    </xf>
    <xf numFmtId="0" fontId="4" fillId="2" borderId="4" xfId="0" applyFont="1" applyFill="1" applyBorder="1" applyAlignment="1">
      <alignment vertical="top"/>
    </xf>
    <xf numFmtId="0" fontId="5" fillId="0" borderId="0" xfId="0" applyFont="1"/>
    <xf numFmtId="10" fontId="6" fillId="6" borderId="4" xfId="2" applyNumberFormat="1" applyFont="1" applyFill="1" applyBorder="1" applyAlignment="1">
      <alignment horizontal="right" vertical="center"/>
    </xf>
    <xf numFmtId="10" fontId="5" fillId="5" borderId="4" xfId="2" applyNumberFormat="1" applyFont="1" applyFill="1" applyBorder="1" applyAlignment="1">
      <alignment horizontal="right" vertical="center"/>
    </xf>
    <xf numFmtId="10" fontId="8" fillId="5" borderId="4" xfId="2" applyNumberFormat="1" applyFont="1" applyFill="1" applyBorder="1" applyAlignment="1">
      <alignment horizontal="right" vertical="center"/>
    </xf>
    <xf numFmtId="0" fontId="46" fillId="0" borderId="0" xfId="0" applyFont="1"/>
    <xf numFmtId="10" fontId="46" fillId="0" borderId="4" xfId="0" applyNumberFormat="1" applyFont="1" applyBorder="1"/>
    <xf numFmtId="9" fontId="46" fillId="0" borderId="4" xfId="0" applyNumberFormat="1" applyFont="1" applyBorder="1"/>
    <xf numFmtId="164" fontId="46" fillId="0" borderId="4" xfId="1" applyNumberFormat="1" applyFont="1" applyBorder="1"/>
    <xf numFmtId="164" fontId="49" fillId="5" borderId="4" xfId="1" applyNumberFormat="1" applyFont="1" applyFill="1" applyBorder="1" applyAlignment="1">
      <alignment horizontal="right" vertical="center"/>
    </xf>
    <xf numFmtId="164" fontId="46" fillId="6" borderId="4" xfId="1" applyNumberFormat="1" applyFont="1" applyFill="1" applyBorder="1" applyAlignment="1">
      <alignment horizontal="right"/>
    </xf>
    <xf numFmtId="164" fontId="50" fillId="6" borderId="4" xfId="1" applyNumberFormat="1" applyFont="1" applyFill="1" applyBorder="1" applyAlignment="1">
      <alignment wrapText="1"/>
    </xf>
    <xf numFmtId="164" fontId="46" fillId="0" borderId="4" xfId="1" applyNumberFormat="1" applyFont="1" applyBorder="1" applyAlignment="1">
      <alignment horizontal="right" wrapText="1"/>
    </xf>
    <xf numFmtId="164" fontId="46" fillId="0" borderId="5" xfId="1" applyNumberFormat="1" applyFont="1" applyBorder="1" applyAlignment="1">
      <alignment horizontal="right"/>
    </xf>
    <xf numFmtId="0" fontId="48" fillId="0" borderId="4" xfId="0" applyFont="1" applyBorder="1"/>
    <xf numFmtId="0" fontId="48" fillId="0" borderId="0" xfId="0" applyFont="1"/>
    <xf numFmtId="0" fontId="46" fillId="4" borderId="4" xfId="0" applyFont="1" applyFill="1" applyBorder="1" applyAlignment="1">
      <alignment vertical="center"/>
    </xf>
    <xf numFmtId="164" fontId="49" fillId="6" borderId="4" xfId="1" applyNumberFormat="1" applyFont="1" applyFill="1" applyBorder="1" applyAlignment="1">
      <alignment horizontal="right" vertical="center"/>
    </xf>
    <xf numFmtId="10" fontId="46" fillId="0" borderId="4" xfId="2" applyNumberFormat="1" applyFont="1" applyBorder="1"/>
    <xf numFmtId="0" fontId="48" fillId="0" borderId="4" xfId="0" applyFont="1" applyBorder="1" applyAlignment="1">
      <alignment horizontal="center"/>
    </xf>
    <xf numFmtId="10" fontId="49" fillId="6" borderId="4" xfId="2" applyNumberFormat="1" applyFont="1" applyFill="1" applyBorder="1" applyAlignment="1">
      <alignment horizontal="right" vertical="center"/>
    </xf>
    <xf numFmtId="10" fontId="46" fillId="0" borderId="4" xfId="2" applyNumberFormat="1" applyFont="1" applyBorder="1" applyAlignment="1">
      <alignment horizontal="right" wrapText="1"/>
    </xf>
    <xf numFmtId="0" fontId="46" fillId="0" borderId="4" xfId="0" applyFont="1" applyBorder="1"/>
    <xf numFmtId="164" fontId="17" fillId="7" borderId="26" xfId="1" applyNumberFormat="1" applyFont="1" applyFill="1" applyBorder="1" applyAlignment="1">
      <alignment horizontal="center" readingOrder="1"/>
    </xf>
    <xf numFmtId="164" fontId="17" fillId="7" borderId="6" xfId="1" applyNumberFormat="1" applyFont="1" applyFill="1" applyBorder="1" applyAlignment="1">
      <alignment horizontal="center" readingOrder="1"/>
    </xf>
    <xf numFmtId="164" fontId="17" fillId="7" borderId="11" xfId="1" applyNumberFormat="1" applyFont="1" applyFill="1" applyBorder="1" applyAlignment="1">
      <alignment horizontal="center" readingOrder="1"/>
    </xf>
    <xf numFmtId="164" fontId="17" fillId="10" borderId="6" xfId="1" applyNumberFormat="1" applyFont="1" applyFill="1" applyBorder="1" applyAlignment="1">
      <alignment horizontal="center" readingOrder="1"/>
    </xf>
    <xf numFmtId="164" fontId="17" fillId="7" borderId="0" xfId="1" applyNumberFormat="1" applyFont="1" applyFill="1" applyBorder="1" applyAlignment="1">
      <alignment horizontal="center" readingOrder="1"/>
    </xf>
    <xf numFmtId="164" fontId="17" fillId="7" borderId="8" xfId="1" applyNumberFormat="1" applyFont="1" applyFill="1" applyBorder="1" applyAlignment="1">
      <alignment horizontal="center" readingOrder="1"/>
    </xf>
    <xf numFmtId="0" fontId="17" fillId="17" borderId="6" xfId="8" applyFont="1" applyFill="1" applyAlignment="1">
      <alignment horizontal="left" vertical="center" wrapText="1" indent="1" readingOrder="1"/>
    </xf>
    <xf numFmtId="164" fontId="17" fillId="17" borderId="6" xfId="1" applyNumberFormat="1" applyFont="1" applyFill="1" applyBorder="1" applyAlignment="1">
      <alignment horizontal="left" vertical="center" wrapText="1" indent="1" readingOrder="1"/>
    </xf>
    <xf numFmtId="164" fontId="17" fillId="17" borderId="6" xfId="1" applyNumberFormat="1" applyFont="1" applyFill="1" applyBorder="1" applyAlignment="1">
      <alignment horizontal="center" vertical="center" wrapText="1" readingOrder="1"/>
    </xf>
    <xf numFmtId="0" fontId="17" fillId="10" borderId="27" xfId="4" applyFont="1" applyFill="1" applyBorder="1" applyAlignment="1">
      <alignment horizontal="left" vertical="top" wrapText="1" readingOrder="1"/>
    </xf>
    <xf numFmtId="0" fontId="52" fillId="0" borderId="0" xfId="0" applyFont="1" applyAlignment="1">
      <alignment horizontal="center"/>
    </xf>
    <xf numFmtId="0" fontId="4" fillId="11" borderId="4" xfId="5" applyFont="1" applyFill="1" applyBorder="1" applyAlignment="1">
      <alignment vertical="center"/>
    </xf>
    <xf numFmtId="9" fontId="0" fillId="0" borderId="4" xfId="0" applyNumberFormat="1" applyBorder="1"/>
    <xf numFmtId="49" fontId="0" fillId="0" borderId="4" xfId="0" applyNumberFormat="1" applyBorder="1" applyAlignment="1">
      <alignment horizontal="right"/>
    </xf>
    <xf numFmtId="0" fontId="0" fillId="0" borderId="14" xfId="0" applyBorder="1"/>
    <xf numFmtId="164" fontId="0" fillId="0" borderId="4" xfId="0" applyNumberFormat="1" applyBorder="1"/>
    <xf numFmtId="0" fontId="4" fillId="11" borderId="4" xfId="5" applyFont="1" applyFill="1" applyBorder="1" applyAlignment="1">
      <alignment vertical="center"/>
      <extLst>
        <ext xmlns:xfpb="http://schemas.microsoft.com/office/spreadsheetml/2022/featurepropertybag" uri="{C7286773-470A-42A8-94C5-96B5CB345126}">
          <xfpb:xfComplement i="0"/>
        </ext>
      </extLst>
    </xf>
    <xf numFmtId="0" fontId="37" fillId="11" borderId="4" xfId="3" applyFont="1" applyFill="1" applyBorder="1" applyAlignment="1">
      <alignment horizontal="center"/>
    </xf>
    <xf numFmtId="0" fontId="5" fillId="12" borderId="4" xfId="4" applyFont="1" applyFill="1" applyBorder="1" applyAlignment="1">
      <alignment readingOrder="1"/>
    </xf>
    <xf numFmtId="10" fontId="39" fillId="12" borderId="4" xfId="0" applyNumberFormat="1" applyFont="1" applyFill="1" applyBorder="1"/>
    <xf numFmtId="0" fontId="41" fillId="11" borderId="4" xfId="0" applyFont="1" applyFill="1" applyBorder="1"/>
    <xf numFmtId="0" fontId="42" fillId="12" borderId="4" xfId="0" applyFont="1" applyFill="1" applyBorder="1"/>
    <xf numFmtId="0" fontId="5" fillId="12" borderId="4" xfId="0" applyFont="1" applyFill="1" applyBorder="1"/>
    <xf numFmtId="0" fontId="43" fillId="12" borderId="4" xfId="0" applyFont="1" applyFill="1" applyBorder="1"/>
    <xf numFmtId="10" fontId="38" fillId="12" borderId="4" xfId="0" applyNumberFormat="1" applyFont="1" applyFill="1" applyBorder="1" applyAlignment="1">
      <alignment wrapText="1"/>
    </xf>
    <xf numFmtId="0" fontId="44" fillId="11" borderId="4" xfId="0" applyFont="1" applyFill="1" applyBorder="1"/>
    <xf numFmtId="9" fontId="42" fillId="12" borderId="4" xfId="0" applyNumberFormat="1" applyFont="1" applyFill="1" applyBorder="1"/>
    <xf numFmtId="0" fontId="41" fillId="2" borderId="4" xfId="0" applyFont="1" applyFill="1" applyBorder="1"/>
    <xf numFmtId="0" fontId="42" fillId="18" borderId="4" xfId="0" applyFont="1" applyFill="1" applyBorder="1"/>
    <xf numFmtId="3" fontId="46" fillId="0" borderId="4" xfId="1" applyNumberFormat="1" applyFont="1" applyBorder="1"/>
    <xf numFmtId="0" fontId="47" fillId="19" borderId="0" xfId="0" applyFont="1" applyFill="1" applyAlignment="1">
      <alignment horizontal="center"/>
    </xf>
    <xf numFmtId="10" fontId="46" fillId="0" borderId="4" xfId="2" applyNumberFormat="1" applyFont="1" applyBorder="1" applyAlignment="1">
      <alignment horizontal="right"/>
    </xf>
    <xf numFmtId="0" fontId="46" fillId="0" borderId="2" xfId="0" applyFont="1" applyBorder="1"/>
    <xf numFmtId="0" fontId="46" fillId="0" borderId="3" xfId="0" applyFont="1" applyBorder="1"/>
    <xf numFmtId="10" fontId="49" fillId="6" borderId="2" xfId="2" applyNumberFormat="1" applyFont="1" applyFill="1" applyBorder="1" applyAlignment="1">
      <alignment horizontal="right" vertical="center"/>
    </xf>
    <xf numFmtId="10" fontId="49" fillId="6" borderId="3" xfId="2" applyNumberFormat="1" applyFont="1" applyFill="1" applyBorder="1" applyAlignment="1">
      <alignment horizontal="right" vertical="center"/>
    </xf>
    <xf numFmtId="164" fontId="46" fillId="0" borderId="4" xfId="0" applyNumberFormat="1" applyFont="1" applyBorder="1"/>
    <xf numFmtId="0" fontId="48" fillId="0" borderId="0" xfId="0" applyFont="1" applyAlignment="1">
      <alignment horizontal="center"/>
    </xf>
    <xf numFmtId="0" fontId="51" fillId="0" borderId="0" xfId="0" applyFont="1" applyAlignment="1">
      <alignment horizontal="center"/>
    </xf>
    <xf numFmtId="164" fontId="46" fillId="0" borderId="0" xfId="0" applyNumberFormat="1" applyFont="1"/>
    <xf numFmtId="10" fontId="46" fillId="0" borderId="0" xfId="2" applyNumberFormat="1" applyFont="1" applyBorder="1"/>
    <xf numFmtId="0" fontId="47" fillId="19" borderId="20" xfId="0" applyFont="1" applyFill="1" applyBorder="1" applyAlignment="1">
      <alignment horizontal="center"/>
    </xf>
    <xf numFmtId="164" fontId="46" fillId="0" borderId="4" xfId="1" applyNumberFormat="1" applyFont="1" applyBorder="1" applyAlignment="1">
      <alignment horizontal="right"/>
    </xf>
    <xf numFmtId="9" fontId="5" fillId="0" borderId="4" xfId="2" applyFont="1" applyBorder="1"/>
    <xf numFmtId="0" fontId="9" fillId="13" borderId="12" xfId="0" applyFont="1" applyFill="1" applyBorder="1" applyAlignment="1">
      <alignment horizontal="left" wrapText="1"/>
    </xf>
    <xf numFmtId="0" fontId="10" fillId="13" borderId="12" xfId="0" applyFont="1" applyFill="1" applyBorder="1" applyAlignment="1">
      <alignment horizontal="left"/>
    </xf>
    <xf numFmtId="0" fontId="54" fillId="20" borderId="12" xfId="0" applyFont="1" applyFill="1" applyBorder="1" applyAlignment="1">
      <alignment horizontal="left"/>
    </xf>
    <xf numFmtId="0" fontId="53" fillId="20" borderId="12" xfId="0" applyFont="1" applyFill="1" applyBorder="1" applyAlignment="1">
      <alignment horizontal="left" wrapText="1"/>
    </xf>
    <xf numFmtId="0" fontId="53" fillId="20" borderId="12" xfId="0" applyFont="1" applyFill="1" applyBorder="1" applyAlignment="1">
      <alignment horizontal="left"/>
    </xf>
    <xf numFmtId="0" fontId="9" fillId="13" borderId="12" xfId="0" applyFont="1" applyFill="1" applyBorder="1" applyAlignment="1">
      <alignment horizontal="left"/>
    </xf>
    <xf numFmtId="10" fontId="9" fillId="13" borderId="12" xfId="0" applyNumberFormat="1" applyFont="1" applyFill="1" applyBorder="1" applyAlignment="1">
      <alignment horizontal="left"/>
    </xf>
    <xf numFmtId="3" fontId="5" fillId="13" borderId="0" xfId="0" applyNumberFormat="1" applyFont="1" applyFill="1"/>
    <xf numFmtId="164" fontId="6" fillId="13" borderId="4" xfId="1" applyNumberFormat="1" applyFont="1" applyFill="1" applyBorder="1" applyAlignment="1">
      <alignment horizontal="right" vertical="center"/>
    </xf>
    <xf numFmtId="164" fontId="5" fillId="13" borderId="4" xfId="1" applyNumberFormat="1" applyFont="1" applyFill="1" applyBorder="1"/>
    <xf numFmtId="9" fontId="6" fillId="13" borderId="4" xfId="2" applyFont="1" applyFill="1" applyBorder="1" applyAlignment="1">
      <alignment horizontal="right" vertical="center"/>
    </xf>
    <xf numFmtId="9" fontId="5" fillId="13" borderId="4" xfId="2" applyFont="1" applyFill="1" applyBorder="1"/>
    <xf numFmtId="3" fontId="5" fillId="13" borderId="4" xfId="1" applyNumberFormat="1" applyFont="1" applyFill="1" applyBorder="1"/>
    <xf numFmtId="0" fontId="5" fillId="13" borderId="4" xfId="0" applyFont="1" applyFill="1" applyBorder="1" applyAlignment="1">
      <alignment vertical="center"/>
    </xf>
    <xf numFmtId="164" fontId="0" fillId="13" borderId="4" xfId="1" applyNumberFormat="1" applyFont="1" applyFill="1" applyBorder="1"/>
    <xf numFmtId="9" fontId="7" fillId="13" borderId="4" xfId="2" applyFont="1" applyFill="1" applyBorder="1" applyAlignment="1">
      <alignment horizontal="right" vertical="center"/>
    </xf>
    <xf numFmtId="9" fontId="8" fillId="13" borderId="4" xfId="2" applyFont="1" applyFill="1" applyBorder="1" applyAlignment="1">
      <alignment horizontal="right" vertical="center"/>
    </xf>
    <xf numFmtId="0" fontId="42" fillId="13" borderId="12" xfId="0" applyFont="1" applyFill="1" applyBorder="1"/>
    <xf numFmtId="165" fontId="46" fillId="0" borderId="4" xfId="1" applyNumberFormat="1" applyFont="1" applyBorder="1" applyAlignment="1">
      <alignment horizontal="right" wrapText="1"/>
    </xf>
    <xf numFmtId="10" fontId="5" fillId="0" borderId="4" xfId="2" applyNumberFormat="1" applyFont="1" applyBorder="1"/>
    <xf numFmtId="0" fontId="46" fillId="19" borderId="0" xfId="0" applyFont="1" applyFill="1"/>
    <xf numFmtId="0" fontId="51" fillId="19" borderId="0" xfId="0" applyFont="1" applyFill="1" applyAlignment="1">
      <alignment horizontal="center"/>
    </xf>
    <xf numFmtId="164" fontId="46" fillId="6" borderId="4" xfId="1" applyNumberFormat="1" applyFont="1" applyFill="1" applyBorder="1" applyAlignment="1">
      <alignment horizontal="center" vertical="center"/>
    </xf>
    <xf numFmtId="164" fontId="46" fillId="0" borderId="4" xfId="1" applyNumberFormat="1" applyFont="1" applyBorder="1" applyAlignment="1">
      <alignment horizontal="center" vertical="center"/>
    </xf>
    <xf numFmtId="164" fontId="46" fillId="6" borderId="4" xfId="1" applyNumberFormat="1" applyFont="1" applyFill="1" applyBorder="1" applyAlignment="1">
      <alignment vertical="center"/>
    </xf>
    <xf numFmtId="164" fontId="46" fillId="0" borderId="4" xfId="1" applyNumberFormat="1" applyFont="1" applyBorder="1" applyAlignment="1">
      <alignment vertical="center"/>
    </xf>
    <xf numFmtId="164" fontId="57" fillId="13" borderId="12" xfId="1" applyNumberFormat="1" applyFont="1" applyFill="1" applyBorder="1"/>
    <xf numFmtId="0" fontId="48" fillId="22" borderId="4" xfId="0" applyFont="1" applyFill="1" applyBorder="1"/>
    <xf numFmtId="0" fontId="46" fillId="12" borderId="4" xfId="0" applyFont="1" applyFill="1" applyBorder="1" applyAlignment="1">
      <alignment vertical="center"/>
    </xf>
    <xf numFmtId="0" fontId="46" fillId="12" borderId="4" xfId="0" applyFont="1" applyFill="1" applyBorder="1"/>
    <xf numFmtId="0" fontId="46" fillId="12" borderId="4" xfId="0" applyFont="1" applyFill="1" applyBorder="1" applyAlignment="1">
      <alignment horizontal="left" vertical="center"/>
    </xf>
    <xf numFmtId="0" fontId="46" fillId="12" borderId="3" xfId="0" applyFont="1" applyFill="1" applyBorder="1" applyAlignment="1">
      <alignment vertical="center"/>
    </xf>
    <xf numFmtId="0" fontId="46" fillId="12" borderId="17" xfId="0" applyFont="1" applyFill="1" applyBorder="1" applyAlignment="1">
      <alignment vertical="center"/>
    </xf>
    <xf numFmtId="0" fontId="58" fillId="22" borderId="4" xfId="0" applyFont="1" applyFill="1" applyBorder="1"/>
    <xf numFmtId="0" fontId="58" fillId="22" borderId="4" xfId="0" applyFont="1" applyFill="1" applyBorder="1" applyAlignment="1">
      <alignment horizontal="center"/>
    </xf>
    <xf numFmtId="164" fontId="58" fillId="22" borderId="4" xfId="1" applyNumberFormat="1" applyFont="1" applyFill="1" applyBorder="1" applyAlignment="1">
      <alignment horizontal="center"/>
    </xf>
    <xf numFmtId="0" fontId="46" fillId="23" borderId="4" xfId="0" applyFont="1" applyFill="1" applyBorder="1"/>
    <xf numFmtId="0" fontId="46" fillId="4" borderId="4" xfId="0" applyFont="1" applyFill="1" applyBorder="1"/>
    <xf numFmtId="0" fontId="46" fillId="24" borderId="4" xfId="0" applyFont="1" applyFill="1" applyBorder="1"/>
    <xf numFmtId="43" fontId="10" fillId="13" borderId="12" xfId="1" applyFont="1" applyFill="1" applyBorder="1" applyAlignment="1">
      <alignment horizontal="left"/>
    </xf>
    <xf numFmtId="164" fontId="10" fillId="13" borderId="12" xfId="1" applyNumberFormat="1" applyFont="1" applyFill="1" applyBorder="1" applyAlignment="1">
      <alignment horizontal="left"/>
    </xf>
    <xf numFmtId="43" fontId="9" fillId="13" borderId="12" xfId="1" applyFont="1" applyFill="1" applyBorder="1" applyAlignment="1">
      <alignment horizontal="left"/>
    </xf>
    <xf numFmtId="43" fontId="9" fillId="13" borderId="12" xfId="1" applyFont="1" applyFill="1" applyBorder="1" applyAlignment="1">
      <alignment horizontal="left" vertical="center"/>
    </xf>
    <xf numFmtId="43" fontId="11" fillId="13" borderId="12" xfId="1" applyFont="1" applyFill="1" applyBorder="1" applyAlignment="1">
      <alignment horizontal="left"/>
    </xf>
    <xf numFmtId="10" fontId="9" fillId="13" borderId="12" xfId="2" applyNumberFormat="1" applyFont="1" applyFill="1" applyBorder="1" applyAlignment="1">
      <alignment horizontal="left"/>
    </xf>
    <xf numFmtId="49" fontId="34" fillId="11" borderId="4" xfId="3" applyNumberFormat="1" applyFont="1" applyFill="1" applyBorder="1" applyAlignment="1">
      <alignment horizontal="center"/>
    </xf>
    <xf numFmtId="0" fontId="56" fillId="30" borderId="4" xfId="0" applyFont="1" applyFill="1" applyBorder="1"/>
    <xf numFmtId="164" fontId="46" fillId="6" borderId="0" xfId="1" applyNumberFormat="1" applyFont="1" applyFill="1" applyBorder="1" applyAlignment="1">
      <alignment horizontal="right"/>
    </xf>
    <xf numFmtId="49" fontId="41" fillId="2" borderId="4" xfId="0" applyNumberFormat="1" applyFont="1" applyFill="1" applyBorder="1"/>
    <xf numFmtId="0" fontId="4" fillId="11" borderId="4" xfId="0" applyFont="1" applyFill="1" applyBorder="1" applyAlignment="1">
      <alignment wrapText="1"/>
    </xf>
    <xf numFmtId="164" fontId="38" fillId="12" borderId="4" xfId="1" applyNumberFormat="1" applyFont="1" applyFill="1" applyBorder="1" applyAlignment="1">
      <alignment wrapText="1"/>
    </xf>
    <xf numFmtId="164" fontId="40" fillId="12" borderId="4" xfId="1" applyNumberFormat="1" applyFont="1" applyFill="1" applyBorder="1"/>
    <xf numFmtId="164" fontId="39" fillId="12" borderId="4" xfId="1" applyNumberFormat="1" applyFont="1" applyFill="1" applyBorder="1"/>
    <xf numFmtId="164" fontId="40" fillId="12" borderId="4" xfId="1" applyNumberFormat="1" applyFont="1" applyFill="1" applyBorder="1" applyAlignment="1">
      <alignment wrapText="1"/>
    </xf>
    <xf numFmtId="164" fontId="42" fillId="12" borderId="4" xfId="1" applyNumberFormat="1" applyFont="1" applyFill="1" applyBorder="1"/>
    <xf numFmtId="164" fontId="5" fillId="12" borderId="4" xfId="1" applyNumberFormat="1" applyFont="1" applyFill="1" applyBorder="1"/>
    <xf numFmtId="0" fontId="55" fillId="29" borderId="1" xfId="0" applyFont="1" applyFill="1" applyBorder="1" applyAlignment="1">
      <alignment horizontal="center"/>
    </xf>
    <xf numFmtId="0" fontId="55" fillId="29" borderId="2" xfId="0" applyFont="1" applyFill="1" applyBorder="1" applyAlignment="1">
      <alignment horizontal="center"/>
    </xf>
    <xf numFmtId="0" fontId="47" fillId="19" borderId="20" xfId="0" applyFont="1" applyFill="1" applyBorder="1" applyAlignment="1">
      <alignment horizontal="center"/>
    </xf>
    <xf numFmtId="0" fontId="47" fillId="19" borderId="13" xfId="0" applyFont="1" applyFill="1" applyBorder="1" applyAlignment="1">
      <alignment horizontal="center"/>
    </xf>
    <xf numFmtId="0" fontId="47" fillId="19" borderId="21" xfId="0" applyFont="1" applyFill="1" applyBorder="1" applyAlignment="1">
      <alignment horizontal="center"/>
    </xf>
    <xf numFmtId="0" fontId="55" fillId="29" borderId="3" xfId="0" applyFont="1" applyFill="1" applyBorder="1" applyAlignment="1">
      <alignment horizontal="center"/>
    </xf>
    <xf numFmtId="0" fontId="51" fillId="0" borderId="1" xfId="0" applyFont="1" applyBorder="1" applyAlignment="1">
      <alignment horizontal="center"/>
    </xf>
    <xf numFmtId="0" fontId="51" fillId="0" borderId="2" xfId="0" applyFont="1" applyBorder="1" applyAlignment="1">
      <alignment horizontal="center"/>
    </xf>
    <xf numFmtId="0" fontId="51" fillId="0" borderId="17" xfId="0" applyFont="1" applyBorder="1" applyAlignment="1">
      <alignment horizontal="center"/>
    </xf>
    <xf numFmtId="0" fontId="51" fillId="0" borderId="3" xfId="0" applyFont="1" applyBorder="1" applyAlignment="1">
      <alignment horizontal="center"/>
    </xf>
    <xf numFmtId="0" fontId="47" fillId="19" borderId="4" xfId="0" applyFont="1" applyFill="1" applyBorder="1" applyAlignment="1">
      <alignment horizontal="center"/>
    </xf>
    <xf numFmtId="0" fontId="51" fillId="0" borderId="4" xfId="0" applyFont="1" applyBorder="1" applyAlignment="1">
      <alignment horizontal="center"/>
    </xf>
    <xf numFmtId="0" fontId="47" fillId="19" borderId="18" xfId="0" applyFont="1" applyFill="1" applyBorder="1" applyAlignment="1">
      <alignment horizontal="center"/>
    </xf>
    <xf numFmtId="0" fontId="47" fillId="19" borderId="0" xfId="0" applyFont="1" applyFill="1" applyAlignment="1">
      <alignment horizontal="center"/>
    </xf>
    <xf numFmtId="0" fontId="55" fillId="27" borderId="1" xfId="0" applyFont="1" applyFill="1" applyBorder="1" applyAlignment="1">
      <alignment horizontal="center"/>
    </xf>
    <xf numFmtId="0" fontId="55" fillId="27" borderId="2" xfId="0" applyFont="1" applyFill="1" applyBorder="1" applyAlignment="1">
      <alignment horizontal="center"/>
    </xf>
    <xf numFmtId="0" fontId="55" fillId="23" borderId="1" xfId="0" applyFont="1" applyFill="1" applyBorder="1" applyAlignment="1">
      <alignment horizontal="center"/>
    </xf>
    <xf numFmtId="0" fontId="55" fillId="23" borderId="2" xfId="0" applyFont="1" applyFill="1" applyBorder="1" applyAlignment="1">
      <alignment horizontal="center"/>
    </xf>
    <xf numFmtId="0" fontId="55" fillId="23" borderId="3" xfId="0" applyFont="1" applyFill="1" applyBorder="1" applyAlignment="1">
      <alignment horizontal="center"/>
    </xf>
    <xf numFmtId="0" fontId="55" fillId="28" borderId="1" xfId="0" applyFont="1" applyFill="1" applyBorder="1" applyAlignment="1">
      <alignment horizontal="center"/>
    </xf>
    <xf numFmtId="0" fontId="55" fillId="28" borderId="2" xfId="0" applyFont="1" applyFill="1" applyBorder="1" applyAlignment="1">
      <alignment horizontal="center"/>
    </xf>
    <xf numFmtId="0" fontId="55" fillId="28" borderId="3" xfId="0" applyFont="1" applyFill="1" applyBorder="1" applyAlignment="1">
      <alignment horizontal="center"/>
    </xf>
    <xf numFmtId="0" fontId="55" fillId="25" borderId="1" xfId="0" applyFont="1" applyFill="1" applyBorder="1" applyAlignment="1">
      <alignment horizontal="center"/>
    </xf>
    <xf numFmtId="0" fontId="55" fillId="25" borderId="2" xfId="0" applyFont="1" applyFill="1" applyBorder="1" applyAlignment="1">
      <alignment horizontal="center"/>
    </xf>
    <xf numFmtId="0" fontId="55" fillId="25" borderId="3" xfId="0" applyFont="1" applyFill="1" applyBorder="1" applyAlignment="1">
      <alignment horizontal="center"/>
    </xf>
    <xf numFmtId="0" fontId="55" fillId="26" borderId="1" xfId="0" applyFont="1" applyFill="1" applyBorder="1" applyAlignment="1">
      <alignment horizontal="center"/>
    </xf>
    <xf numFmtId="0" fontId="55" fillId="26" borderId="2" xfId="0" applyFont="1" applyFill="1" applyBorder="1" applyAlignment="1">
      <alignment horizontal="center"/>
    </xf>
    <xf numFmtId="0" fontId="55" fillId="26" borderId="3" xfId="0" applyFont="1" applyFill="1" applyBorder="1" applyAlignment="1">
      <alignment horizontal="center"/>
    </xf>
    <xf numFmtId="0" fontId="55" fillId="27" borderId="3" xfId="0" applyFont="1" applyFill="1" applyBorder="1" applyAlignment="1">
      <alignment horizontal="center"/>
    </xf>
    <xf numFmtId="0" fontId="55" fillId="25" borderId="4" xfId="0" applyFont="1" applyFill="1" applyBorder="1" applyAlignment="1">
      <alignment horizontal="center"/>
    </xf>
    <xf numFmtId="0" fontId="22" fillId="3" borderId="28" xfId="0" applyFont="1" applyFill="1" applyBorder="1" applyAlignment="1">
      <alignment horizontal="center"/>
    </xf>
    <xf numFmtId="0" fontId="21" fillId="3" borderId="28" xfId="0" applyFont="1" applyFill="1" applyBorder="1" applyAlignment="1">
      <alignment horizontal="center"/>
    </xf>
    <xf numFmtId="0" fontId="16" fillId="8" borderId="1" xfId="3" applyFont="1" applyFill="1" applyBorder="1" applyAlignment="1">
      <alignment horizontal="center"/>
    </xf>
    <xf numFmtId="0" fontId="16" fillId="8" borderId="2" xfId="3" applyFont="1" applyFill="1" applyBorder="1" applyAlignment="1">
      <alignment horizontal="center"/>
    </xf>
    <xf numFmtId="0" fontId="16" fillId="8" borderId="3" xfId="3" applyFont="1" applyFill="1" applyBorder="1" applyAlignment="1">
      <alignment horizontal="center"/>
    </xf>
    <xf numFmtId="0" fontId="22" fillId="3" borderId="29" xfId="0" applyFont="1" applyFill="1" applyBorder="1" applyAlignment="1">
      <alignment horizontal="center"/>
    </xf>
    <xf numFmtId="0" fontId="22" fillId="3" borderId="30" xfId="0" applyFont="1" applyFill="1" applyBorder="1" applyAlignment="1">
      <alignment horizontal="center"/>
    </xf>
    <xf numFmtId="0" fontId="22" fillId="3" borderId="31" xfId="0" applyFont="1" applyFill="1" applyBorder="1" applyAlignment="1">
      <alignment horizontal="center"/>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0" borderId="21" xfId="0" applyBorder="1" applyAlignment="1">
      <alignment horizontal="center"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27" fillId="2" borderId="4" xfId="0" applyFont="1" applyFill="1" applyBorder="1" applyAlignment="1">
      <alignment horizontal="center" vertical="top"/>
    </xf>
    <xf numFmtId="0" fontId="4"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18" xfId="0" applyFont="1" applyFill="1" applyBorder="1" applyAlignment="1">
      <alignment horizontal="center" vertical="center"/>
    </xf>
    <xf numFmtId="0" fontId="4" fillId="3" borderId="0" xfId="0" applyFont="1" applyFill="1" applyAlignment="1">
      <alignment horizontal="center" vertical="center"/>
    </xf>
    <xf numFmtId="0" fontId="0" fillId="15" borderId="4" xfId="0" applyFill="1" applyBorder="1" applyAlignment="1">
      <alignment horizontal="left"/>
    </xf>
    <xf numFmtId="0" fontId="34" fillId="11" borderId="4" xfId="0" applyFont="1" applyFill="1" applyBorder="1" applyAlignment="1">
      <alignment horizontal="left"/>
    </xf>
    <xf numFmtId="0" fontId="45" fillId="0" borderId="0" xfId="0" applyFont="1" applyAlignment="1">
      <alignment horizontal="center"/>
    </xf>
    <xf numFmtId="0" fontId="52" fillId="0" borderId="0" xfId="0" applyFont="1" applyAlignment="1">
      <alignment horizontal="center"/>
    </xf>
    <xf numFmtId="0" fontId="4" fillId="11" borderId="18" xfId="5" applyFont="1" applyFill="1" applyBorder="1" applyAlignment="1">
      <alignment horizontal="center" vertical="center"/>
    </xf>
    <xf numFmtId="0" fontId="4" fillId="11" borderId="0" xfId="5" applyFont="1" applyFill="1" applyAlignment="1">
      <alignment horizontal="center" vertical="center"/>
    </xf>
    <xf numFmtId="0" fontId="0" fillId="14" borderId="4" xfId="0" applyFill="1" applyBorder="1" applyAlignment="1">
      <alignment horizontal="left"/>
    </xf>
    <xf numFmtId="0" fontId="27" fillId="11" borderId="1" xfId="0" applyFont="1" applyFill="1" applyBorder="1" applyAlignment="1">
      <alignment horizontal="center"/>
    </xf>
    <xf numFmtId="0" fontId="27" fillId="11" borderId="2" xfId="0" applyFont="1" applyFill="1" applyBorder="1" applyAlignment="1">
      <alignment horizontal="center"/>
    </xf>
    <xf numFmtId="0" fontId="27" fillId="11" borderId="3" xfId="0" applyFont="1" applyFill="1" applyBorder="1" applyAlignment="1">
      <alignment horizontal="center"/>
    </xf>
    <xf numFmtId="0" fontId="34" fillId="11" borderId="5" xfId="3" applyFont="1" applyFill="1" applyBorder="1" applyAlignment="1">
      <alignment horizontal="center"/>
    </xf>
    <xf numFmtId="0" fontId="34" fillId="11" borderId="14" xfId="3" applyFont="1" applyFill="1" applyBorder="1" applyAlignment="1">
      <alignment horizontal="center"/>
    </xf>
    <xf numFmtId="0" fontId="34" fillId="11" borderId="5" xfId="4" applyFont="1" applyFill="1" applyBorder="1" applyAlignment="1">
      <alignment horizontal="center" wrapText="1" readingOrder="1"/>
    </xf>
    <xf numFmtId="0" fontId="34" fillId="11" borderId="14" xfId="4" applyFont="1" applyFill="1" applyBorder="1" applyAlignment="1">
      <alignment horizontal="center" wrapText="1" readingOrder="1"/>
    </xf>
    <xf numFmtId="0" fontId="41" fillId="11" borderId="5" xfId="0" applyFont="1" applyFill="1" applyBorder="1" applyAlignment="1">
      <alignment horizontal="center"/>
    </xf>
    <xf numFmtId="0" fontId="41" fillId="11" borderId="14" xfId="0" applyFont="1" applyFill="1" applyBorder="1" applyAlignment="1">
      <alignment horizontal="center"/>
    </xf>
    <xf numFmtId="0" fontId="37" fillId="11" borderId="4" xfId="3" applyFont="1" applyFill="1" applyBorder="1" applyAlignment="1">
      <alignment horizontal="center"/>
    </xf>
    <xf numFmtId="0" fontId="5" fillId="11" borderId="4" xfId="3" applyFont="1" applyFill="1" applyBorder="1" applyAlignment="1">
      <alignment horizontal="center"/>
    </xf>
    <xf numFmtId="0" fontId="41" fillId="11" borderId="4" xfId="0" applyFont="1" applyFill="1" applyBorder="1" applyAlignment="1">
      <alignment horizontal="center" vertical="center"/>
    </xf>
    <xf numFmtId="0" fontId="41" fillId="11" borderId="4" xfId="0" applyFont="1" applyFill="1" applyBorder="1" applyAlignment="1">
      <alignment horizontal="center"/>
    </xf>
    <xf numFmtId="0" fontId="61" fillId="13" borderId="4" xfId="0" applyFont="1" applyFill="1" applyBorder="1" applyAlignment="1">
      <alignment horizontal="center"/>
    </xf>
    <xf numFmtId="0" fontId="62" fillId="13" borderId="4" xfId="0" applyFont="1" applyFill="1" applyBorder="1" applyAlignment="1">
      <alignment horizontal="center"/>
    </xf>
    <xf numFmtId="49" fontId="41" fillId="11" borderId="5" xfId="0" applyNumberFormat="1" applyFont="1" applyFill="1" applyBorder="1" applyAlignment="1">
      <alignment horizontal="center" vertical="center"/>
    </xf>
    <xf numFmtId="49" fontId="41" fillId="11" borderId="14" xfId="0" applyNumberFormat="1" applyFont="1" applyFill="1" applyBorder="1" applyAlignment="1">
      <alignment horizontal="center" vertical="center"/>
    </xf>
    <xf numFmtId="49" fontId="41" fillId="11" borderId="5" xfId="0" applyNumberFormat="1" applyFont="1" applyFill="1" applyBorder="1" applyAlignment="1">
      <alignment horizontal="center"/>
    </xf>
    <xf numFmtId="49" fontId="41" fillId="11" borderId="14" xfId="0" applyNumberFormat="1" applyFont="1" applyFill="1" applyBorder="1" applyAlignment="1">
      <alignment horizontal="center"/>
    </xf>
    <xf numFmtId="164" fontId="42" fillId="18" borderId="4" xfId="1" applyNumberFormat="1" applyFont="1" applyFill="1" applyBorder="1"/>
    <xf numFmtId="10" fontId="5" fillId="12" borderId="4" xfId="2" applyNumberFormat="1" applyFont="1" applyFill="1" applyBorder="1"/>
    <xf numFmtId="0" fontId="3" fillId="22" borderId="4" xfId="0" applyFont="1" applyFill="1" applyBorder="1" applyAlignment="1">
      <alignment horizontal="center" vertical="top"/>
    </xf>
    <xf numFmtId="0" fontId="4" fillId="22" borderId="1" xfId="0" applyFont="1" applyFill="1" applyBorder="1" applyAlignment="1">
      <alignment horizontal="center" vertical="center"/>
    </xf>
    <xf numFmtId="0" fontId="4" fillId="22" borderId="2" xfId="0" applyFont="1" applyFill="1" applyBorder="1" applyAlignment="1">
      <alignment horizontal="center" vertical="center"/>
    </xf>
    <xf numFmtId="0" fontId="4" fillId="22" borderId="3" xfId="0" applyFont="1" applyFill="1" applyBorder="1" applyAlignment="1">
      <alignment horizontal="center" vertical="center"/>
    </xf>
    <xf numFmtId="0" fontId="4" fillId="22" borderId="1" xfId="0" applyFont="1" applyFill="1" applyBorder="1" applyAlignment="1">
      <alignment horizontal="center" vertical="center"/>
    </xf>
    <xf numFmtId="0" fontId="4" fillId="22" borderId="32" xfId="0" applyFont="1" applyFill="1" applyBorder="1" applyAlignment="1">
      <alignment horizontal="center" vertical="center"/>
    </xf>
    <xf numFmtId="0" fontId="5" fillId="13" borderId="14" xfId="0" applyFont="1" applyFill="1" applyBorder="1" applyAlignment="1">
      <alignment vertical="center"/>
    </xf>
    <xf numFmtId="164" fontId="6" fillId="13" borderId="14" xfId="1" applyNumberFormat="1" applyFont="1" applyFill="1" applyBorder="1" applyAlignment="1">
      <alignment horizontal="right" vertical="center"/>
    </xf>
    <xf numFmtId="164" fontId="5" fillId="13" borderId="14" xfId="1" applyNumberFormat="1" applyFont="1" applyFill="1" applyBorder="1"/>
    <xf numFmtId="0" fontId="64" fillId="18" borderId="4" xfId="0" applyFont="1" applyFill="1" applyBorder="1" applyAlignment="1">
      <alignment vertical="center"/>
    </xf>
    <xf numFmtId="0" fontId="63" fillId="13" borderId="33" xfId="0" applyFont="1" applyFill="1" applyBorder="1" applyAlignment="1">
      <alignment horizontal="center" vertical="center"/>
    </xf>
    <xf numFmtId="0" fontId="63" fillId="13" borderId="34" xfId="0" applyFont="1" applyFill="1" applyBorder="1" applyAlignment="1">
      <alignment horizontal="center" vertical="center"/>
    </xf>
    <xf numFmtId="0" fontId="63" fillId="13" borderId="35" xfId="0" applyFont="1" applyFill="1" applyBorder="1" applyAlignment="1">
      <alignment horizontal="center" vertical="center"/>
    </xf>
    <xf numFmtId="0" fontId="65" fillId="21" borderId="22" xfId="0" applyFont="1" applyFill="1" applyBorder="1" applyAlignment="1">
      <alignment horizontal="center" vertical="center"/>
    </xf>
    <xf numFmtId="0" fontId="65" fillId="21" borderId="23" xfId="0" applyFont="1" applyFill="1" applyBorder="1" applyAlignment="1">
      <alignment horizontal="center" vertical="center"/>
    </xf>
    <xf numFmtId="0" fontId="65" fillId="21" borderId="24" xfId="0" applyFont="1" applyFill="1" applyBorder="1" applyAlignment="1">
      <alignment horizontal="center" vertical="center"/>
    </xf>
    <xf numFmtId="0" fontId="60" fillId="31" borderId="22" xfId="0" applyFont="1" applyFill="1" applyBorder="1" applyAlignment="1">
      <alignment horizontal="center" vertical="center"/>
    </xf>
    <xf numFmtId="0" fontId="60" fillId="31" borderId="23" xfId="0" applyFont="1" applyFill="1" applyBorder="1" applyAlignment="1">
      <alignment horizontal="center" vertical="center"/>
    </xf>
    <xf numFmtId="0" fontId="60" fillId="31" borderId="24" xfId="0" applyFont="1" applyFill="1" applyBorder="1" applyAlignment="1">
      <alignment horizontal="center" vertical="center"/>
    </xf>
    <xf numFmtId="0" fontId="66" fillId="0" borderId="2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53" fillId="20" borderId="36" xfId="0" applyFont="1" applyFill="1" applyBorder="1" applyAlignment="1">
      <alignment horizontal="center" wrapText="1"/>
    </xf>
  </cellXfs>
  <cellStyles count="9">
    <cellStyle name="40% - Accent6" xfId="4" builtinId="51"/>
    <cellStyle name="Check Cell" xfId="8" builtinId="23"/>
    <cellStyle name="Comma" xfId="1" builtinId="3"/>
    <cellStyle name="Comma 2" xfId="7" xr:uid="{29C9275A-0C9E-44B6-87FA-40A1102991AA}"/>
    <cellStyle name="Normal" xfId="0" builtinId="0"/>
    <cellStyle name="Normal 2" xfId="5" xr:uid="{F6E281A0-47ED-4C8F-A48D-F35CDBD2CA18}"/>
    <cellStyle name="Per cent" xfId="2" builtinId="5"/>
    <cellStyle name="Percent 2" xfId="6" xr:uid="{8EED9201-BF53-4001-B0AB-A2704B2F7FD3}"/>
    <cellStyle name="Total" xfId="3" builtinId="25"/>
  </cellStyles>
  <dxfs count="17">
    <dxf>
      <font>
        <color rgb="FF9C0006"/>
      </font>
    </dxf>
    <dxf>
      <font>
        <color rgb="FF9C0006"/>
      </font>
    </dxf>
    <dxf>
      <font>
        <color rgb="FF9C5700"/>
      </font>
      <fill>
        <patternFill patternType="solid">
          <bgColor rgb="FFEAF0A5"/>
        </patternFill>
      </fill>
    </dxf>
    <dxf>
      <font>
        <color rgb="FF9C0006"/>
      </font>
      <fill>
        <patternFill patternType="solid">
          <bgColor rgb="FFEAF0A5"/>
        </patternFill>
      </fill>
    </dxf>
    <dxf>
      <font>
        <strike val="0"/>
        <outline val="0"/>
        <shadow val="0"/>
        <u val="none"/>
        <vertAlign val="baseline"/>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Times New Roman"/>
        <family val="1"/>
        <scheme val="none"/>
      </font>
      <numFmt numFmtId="164" formatCode="_(* #,##0_);_(* \(#,##0\);_(* &quot;-&quot;??_);_(@_)"/>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border outline="0">
        <left style="thin">
          <color indexed="64"/>
        </left>
      </border>
    </dxf>
    <dxf>
      <font>
        <b val="0"/>
        <i val="0"/>
        <strike val="0"/>
        <condense val="0"/>
        <extend val="0"/>
        <outline val="0"/>
        <shadow val="0"/>
        <u val="none"/>
        <vertAlign val="baseline"/>
        <sz val="11"/>
        <color theme="1"/>
        <name val="Times New Roman"/>
        <family val="1"/>
        <scheme val="none"/>
      </font>
      <fill>
        <patternFill patternType="solid">
          <fgColor indexed="64"/>
          <bgColor theme="3" tint="0.89999084444715716"/>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dxf>
    <dxf>
      <border outline="0">
        <bottom style="thin">
          <color indexed="64"/>
        </bottom>
      </border>
    </dxf>
    <dxf>
      <font>
        <b/>
        <i val="0"/>
        <strike val="0"/>
        <condense val="0"/>
        <extend val="0"/>
        <outline val="0"/>
        <shadow val="0"/>
        <u val="none"/>
        <vertAlign val="baseline"/>
        <sz val="11"/>
        <color theme="1"/>
        <name val="Times New Roman"/>
        <family val="1"/>
        <scheme val="none"/>
      </font>
      <fill>
        <patternFill patternType="solid">
          <fgColor indexed="64"/>
          <bgColor theme="3" tint="0.499984740745262"/>
        </patternFill>
      </fill>
      <border diagonalUp="0" diagonalDown="0" outline="0">
        <left style="thin">
          <color indexed="64"/>
        </left>
        <right style="thin">
          <color indexed="64"/>
        </right>
        <top/>
        <bottom/>
      </border>
    </dxf>
  </dxfs>
  <tableStyles count="0" defaultTableStyle="TableStyleMedium2" defaultPivotStyle="PivotStyleLight16"/>
  <colors>
    <mruColors>
      <color rgb="FFAB7942"/>
      <color rgb="FFFFC226"/>
      <color rgb="FF7EB5D3"/>
      <color rgb="FF0432FF"/>
      <color rgb="FFEAF0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1.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2.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3.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4.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5.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7.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8.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9.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0.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1.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2.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3.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4.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5.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6.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8.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Ex1.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GB" b="1"/>
              <a:t>YoY Revenue Growth (%)</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lineChart>
        <c:grouping val="stacked"/>
        <c:varyColors val="0"/>
        <c:ser>
          <c:idx val="0"/>
          <c:order val="0"/>
          <c:tx>
            <c:strRef>
              <c:f>'Master Data'!$A$14</c:f>
              <c:strCache>
                <c:ptCount val="1"/>
                <c:pt idx="0">
                  <c:v>NVIDIA</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('Master Data'!$E$13,'Master Data'!$D$13,'Master Data'!$C$13,'Master Data'!$B$13)</c:f>
              <c:strCache>
                <c:ptCount val="4"/>
                <c:pt idx="0">
                  <c:v>2021/20</c:v>
                </c:pt>
                <c:pt idx="1">
                  <c:v>2022/21</c:v>
                </c:pt>
                <c:pt idx="2">
                  <c:v>2023/22</c:v>
                </c:pt>
                <c:pt idx="3">
                  <c:v>2024/23</c:v>
                </c:pt>
              </c:strCache>
            </c:strRef>
          </c:cat>
          <c:val>
            <c:numRef>
              <c:f>('Master Data'!$E$14,'Master Data'!$D$14,'Master Data'!$C$14,'Master Data'!$B$14)</c:f>
              <c:numCache>
                <c:formatCode>0.00%</c:formatCode>
                <c:ptCount val="4"/>
                <c:pt idx="0">
                  <c:v>0.52729437625938824</c:v>
                </c:pt>
                <c:pt idx="1">
                  <c:v>0.61403298350824587</c:v>
                </c:pt>
                <c:pt idx="2">
                  <c:v>2.2293230289069932E-3</c:v>
                </c:pt>
                <c:pt idx="3">
                  <c:v>1.2585452658115224</c:v>
                </c:pt>
              </c:numCache>
            </c:numRef>
          </c:val>
          <c:smooth val="0"/>
          <c:extLst>
            <c:ext xmlns:c16="http://schemas.microsoft.com/office/drawing/2014/chart" uri="{C3380CC4-5D6E-409C-BE32-E72D297353CC}">
              <c16:uniqueId val="{00000000-0F27-1840-BBF1-EB0DB93E098A}"/>
            </c:ext>
          </c:extLst>
        </c:ser>
        <c:ser>
          <c:idx val="1"/>
          <c:order val="1"/>
          <c:tx>
            <c:strRef>
              <c:f>'Master Data'!$A$15</c:f>
              <c:strCache>
                <c:ptCount val="1"/>
                <c:pt idx="0">
                  <c:v>AMD</c:v>
                </c:pt>
              </c:strCache>
            </c:strRef>
          </c:tx>
          <c:spPr>
            <a:ln w="15875" cap="rnd">
              <a:solidFill>
                <a:schemeClr val="accent2"/>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('Master Data'!$E$13,'Master Data'!$D$13,'Master Data'!$C$13,'Master Data'!$B$13)</c:f>
              <c:strCache>
                <c:ptCount val="4"/>
                <c:pt idx="0">
                  <c:v>2021/20</c:v>
                </c:pt>
                <c:pt idx="1">
                  <c:v>2022/21</c:v>
                </c:pt>
                <c:pt idx="2">
                  <c:v>2023/22</c:v>
                </c:pt>
                <c:pt idx="3">
                  <c:v>2024/23</c:v>
                </c:pt>
              </c:strCache>
            </c:strRef>
          </c:cat>
          <c:val>
            <c:numRef>
              <c:f>('Master Data'!$E$15,'Master Data'!$D$15,'Master Data'!$C$15,'Master Data'!$B$15)</c:f>
              <c:numCache>
                <c:formatCode>0%</c:formatCode>
                <c:ptCount val="4"/>
                <c:pt idx="0">
                  <c:v>0.68329406944586712</c:v>
                </c:pt>
                <c:pt idx="1">
                  <c:v>0.43610806863818907</c:v>
                </c:pt>
                <c:pt idx="2">
                  <c:v>-3.9023770179229644E-2</c:v>
                </c:pt>
                <c:pt idx="3">
                  <c:v>0.13690476190476186</c:v>
                </c:pt>
              </c:numCache>
            </c:numRef>
          </c:val>
          <c:smooth val="0"/>
          <c:extLst>
            <c:ext xmlns:c16="http://schemas.microsoft.com/office/drawing/2014/chart" uri="{C3380CC4-5D6E-409C-BE32-E72D297353CC}">
              <c16:uniqueId val="{00000001-0F27-1840-BBF1-EB0DB93E098A}"/>
            </c:ext>
          </c:extLst>
        </c:ser>
        <c:ser>
          <c:idx val="2"/>
          <c:order val="2"/>
          <c:tx>
            <c:strRef>
              <c:f>'Master Data'!$A$16</c:f>
              <c:strCache>
                <c:ptCount val="1"/>
                <c:pt idx="0">
                  <c:v>Qualcomm</c:v>
                </c:pt>
              </c:strCache>
            </c:strRef>
          </c:tx>
          <c:spPr>
            <a:ln w="15875" cap="rnd">
              <a:solidFill>
                <a:schemeClr val="accent3"/>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cat>
            <c:strRef>
              <c:f>('Master Data'!$E$13,'Master Data'!$D$13,'Master Data'!$C$13,'Master Data'!$B$13)</c:f>
              <c:strCache>
                <c:ptCount val="4"/>
                <c:pt idx="0">
                  <c:v>2021/20</c:v>
                </c:pt>
                <c:pt idx="1">
                  <c:v>2022/21</c:v>
                </c:pt>
                <c:pt idx="2">
                  <c:v>2023/22</c:v>
                </c:pt>
                <c:pt idx="3">
                  <c:v>2024/23</c:v>
                </c:pt>
              </c:strCache>
            </c:strRef>
          </c:cat>
          <c:val>
            <c:numRef>
              <c:f>('Master Data'!$E$16,'Master Data'!$D$16,'Master Data'!$C$16,'Master Data'!$B$16)</c:f>
              <c:numCache>
                <c:formatCode>0.00%</c:formatCode>
                <c:ptCount val="4"/>
                <c:pt idx="0">
                  <c:v>0.42645871403680258</c:v>
                </c:pt>
                <c:pt idx="1">
                  <c:v>0.31680867544539115</c:v>
                </c:pt>
                <c:pt idx="2">
                  <c:v>-0.18959276018099547</c:v>
                </c:pt>
                <c:pt idx="3">
                  <c:v>8.7716359575656044E-2</c:v>
                </c:pt>
              </c:numCache>
            </c:numRef>
          </c:val>
          <c:smooth val="0"/>
          <c:extLst>
            <c:ext xmlns:c16="http://schemas.microsoft.com/office/drawing/2014/chart" uri="{C3380CC4-5D6E-409C-BE32-E72D297353CC}">
              <c16:uniqueId val="{00000002-0F27-1840-BBF1-EB0DB93E098A}"/>
            </c:ext>
          </c:extLst>
        </c:ser>
        <c:ser>
          <c:idx val="3"/>
          <c:order val="3"/>
          <c:tx>
            <c:strRef>
              <c:f>'Master Data'!$A$17</c:f>
              <c:strCache>
                <c:ptCount val="1"/>
                <c:pt idx="0">
                  <c:v>ARM</c:v>
                </c:pt>
              </c:strCache>
            </c:strRef>
          </c:tx>
          <c:spPr>
            <a:ln w="15875" cap="rnd">
              <a:solidFill>
                <a:schemeClr val="accent4"/>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cat>
            <c:strRef>
              <c:f>('Master Data'!$E$13,'Master Data'!$D$13,'Master Data'!$C$13,'Master Data'!$B$13)</c:f>
              <c:strCache>
                <c:ptCount val="4"/>
                <c:pt idx="0">
                  <c:v>2021/20</c:v>
                </c:pt>
                <c:pt idx="1">
                  <c:v>2022/21</c:v>
                </c:pt>
                <c:pt idx="2">
                  <c:v>2023/22</c:v>
                </c:pt>
                <c:pt idx="3">
                  <c:v>2024/23</c:v>
                </c:pt>
              </c:strCache>
            </c:strRef>
          </c:cat>
          <c:val>
            <c:numRef>
              <c:f>('Master Data'!$E$17,'Master Data'!$D$17,'Master Data'!$C$17,'Master Data'!$B$17)</c:f>
              <c:numCache>
                <c:formatCode>0.00%</c:formatCode>
                <c:ptCount val="4"/>
                <c:pt idx="0">
                  <c:v>0.33349777997039953</c:v>
                </c:pt>
                <c:pt idx="1">
                  <c:v>-8.8790233074361735E-3</c:v>
                </c:pt>
                <c:pt idx="2">
                  <c:v>0.20679357969391554</c:v>
                </c:pt>
                <c:pt idx="3">
                  <c:v>0.23940612434271569</c:v>
                </c:pt>
              </c:numCache>
            </c:numRef>
          </c:val>
          <c:smooth val="0"/>
          <c:extLst>
            <c:ext xmlns:c16="http://schemas.microsoft.com/office/drawing/2014/chart" uri="{C3380CC4-5D6E-409C-BE32-E72D297353CC}">
              <c16:uniqueId val="{00000003-0F27-1840-BBF1-EB0DB93E098A}"/>
            </c:ext>
          </c:extLst>
        </c:ser>
        <c:ser>
          <c:idx val="4"/>
          <c:order val="4"/>
          <c:tx>
            <c:strRef>
              <c:f>'Master Data'!$A$18</c:f>
              <c:strCache>
                <c:ptCount val="1"/>
                <c:pt idx="0">
                  <c:v>TSMC</c:v>
                </c:pt>
              </c:strCache>
            </c:strRef>
          </c:tx>
          <c:spPr>
            <a:ln w="15875" cap="rnd">
              <a:solidFill>
                <a:schemeClr val="accent5"/>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cat>
            <c:strRef>
              <c:f>('Master Data'!$E$13,'Master Data'!$D$13,'Master Data'!$C$13,'Master Data'!$B$13)</c:f>
              <c:strCache>
                <c:ptCount val="4"/>
                <c:pt idx="0">
                  <c:v>2021/20</c:v>
                </c:pt>
                <c:pt idx="1">
                  <c:v>2022/21</c:v>
                </c:pt>
                <c:pt idx="2">
                  <c:v>2023/22</c:v>
                </c:pt>
                <c:pt idx="3">
                  <c:v>2024/23</c:v>
                </c:pt>
              </c:strCache>
            </c:strRef>
          </c:cat>
          <c:val>
            <c:numRef>
              <c:f>('Master Data'!$E$18,'Master Data'!$D$18,'Master Data'!$C$18,'Master Data'!$B$18)</c:f>
              <c:numCache>
                <c:formatCode>0.00%</c:formatCode>
                <c:ptCount val="4"/>
                <c:pt idx="0">
                  <c:v>0.1228941810033275</c:v>
                </c:pt>
                <c:pt idx="1">
                  <c:v>0.51548860658241824</c:v>
                </c:pt>
                <c:pt idx="2">
                  <c:v>-1.1154561850553746E-3</c:v>
                </c:pt>
                <c:pt idx="3">
                  <c:v>0.38007702308487246</c:v>
                </c:pt>
              </c:numCache>
            </c:numRef>
          </c:val>
          <c:smooth val="0"/>
          <c:extLst>
            <c:ext xmlns:c16="http://schemas.microsoft.com/office/drawing/2014/chart" uri="{C3380CC4-5D6E-409C-BE32-E72D297353CC}">
              <c16:uniqueId val="{00000004-0F27-1840-BBF1-EB0DB93E098A}"/>
            </c:ext>
          </c:extLst>
        </c:ser>
        <c:ser>
          <c:idx val="5"/>
          <c:order val="5"/>
          <c:tx>
            <c:strRef>
              <c:f>'Master Data'!$A$19</c:f>
              <c:strCache>
                <c:ptCount val="1"/>
                <c:pt idx="0">
                  <c:v>Intel</c:v>
                </c:pt>
              </c:strCache>
            </c:strRef>
          </c:tx>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cat>
            <c:strRef>
              <c:f>('Master Data'!$E$13,'Master Data'!$D$13,'Master Data'!$C$13,'Master Data'!$B$13)</c:f>
              <c:strCache>
                <c:ptCount val="4"/>
                <c:pt idx="0">
                  <c:v>2021/20</c:v>
                </c:pt>
                <c:pt idx="1">
                  <c:v>2022/21</c:v>
                </c:pt>
                <c:pt idx="2">
                  <c:v>2023/22</c:v>
                </c:pt>
                <c:pt idx="3">
                  <c:v>2024/23</c:v>
                </c:pt>
              </c:strCache>
            </c:strRef>
          </c:cat>
          <c:val>
            <c:numRef>
              <c:f>('Master Data'!$E$19,'Master Data'!$D$19,'Master Data'!$C$19,'Master Data'!$B$19)</c:f>
              <c:numCache>
                <c:formatCode>0.00%</c:formatCode>
                <c:ptCount val="4"/>
                <c:pt idx="0">
                  <c:v>1.4858669269395275E-2</c:v>
                </c:pt>
                <c:pt idx="1">
                  <c:v>-0.20209050415063778</c:v>
                </c:pt>
                <c:pt idx="2">
                  <c:v>-0.13997525930155108</c:v>
                </c:pt>
                <c:pt idx="3">
                  <c:v>-2.0782621523935951E-2</c:v>
                </c:pt>
              </c:numCache>
            </c:numRef>
          </c:val>
          <c:smooth val="0"/>
          <c:extLst>
            <c:ext xmlns:c16="http://schemas.microsoft.com/office/drawing/2014/chart" uri="{C3380CC4-5D6E-409C-BE32-E72D297353CC}">
              <c16:uniqueId val="{00000005-0F27-1840-BBF1-EB0DB93E098A}"/>
            </c:ext>
          </c:extLst>
        </c:ser>
        <c:dLbls>
          <c:showLegendKey val="0"/>
          <c:showVal val="0"/>
          <c:showCatName val="0"/>
          <c:showSerName val="0"/>
          <c:showPercent val="0"/>
          <c:showBubbleSize val="0"/>
        </c:dLbls>
        <c:marker val="1"/>
        <c:smooth val="0"/>
        <c:axId val="1630507839"/>
        <c:axId val="1229250879"/>
      </c:lineChart>
      <c:catAx>
        <c:axId val="163050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229250879"/>
        <c:crosses val="autoZero"/>
        <c:auto val="1"/>
        <c:lblAlgn val="ctr"/>
        <c:lblOffset val="100"/>
        <c:noMultiLvlLbl val="0"/>
      </c:catAx>
      <c:valAx>
        <c:axId val="1229250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30507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GB" b="1"/>
              <a:t>CAGR (Compound Annual Growth</a:t>
            </a:r>
            <a:r>
              <a:rPr lang="en-GB" b="1" baseline="0"/>
              <a:t> Rate)</a:t>
            </a:r>
            <a:endParaRPr lang="en-GB"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GB"/>
        </a:p>
      </c:txPr>
    </c:title>
    <c:autoTitleDeleted val="0"/>
    <c:plotArea>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'Master Data'!$A$14:$A$19</c:f>
              <c:strCache>
                <c:ptCount val="6"/>
                <c:pt idx="0">
                  <c:v>NVIDIA</c:v>
                </c:pt>
                <c:pt idx="1">
                  <c:v>AMD</c:v>
                </c:pt>
                <c:pt idx="2">
                  <c:v>Qualcomm</c:v>
                </c:pt>
                <c:pt idx="3">
                  <c:v>ARM</c:v>
                </c:pt>
                <c:pt idx="4">
                  <c:v>TSMC</c:v>
                </c:pt>
                <c:pt idx="5">
                  <c:v>Intel</c:v>
                </c:pt>
              </c:strCache>
            </c:strRef>
          </c:cat>
          <c:val>
            <c:numRef>
              <c:f>'Master Data'!$F$14:$F$19</c:f>
              <c:numCache>
                <c:formatCode>0.00%</c:formatCode>
                <c:ptCount val="6"/>
                <c:pt idx="0">
                  <c:v>0.536943015184286</c:v>
                </c:pt>
                <c:pt idx="1">
                  <c:v>0.2748114678385285</c:v>
                </c:pt>
                <c:pt idx="2">
                  <c:v>0.13435819932195092</c:v>
                </c:pt>
                <c:pt idx="3">
                  <c:v>0.18574526325893514</c:v>
                </c:pt>
                <c:pt idx="4">
                  <c:v>0.23759210834318645</c:v>
                </c:pt>
                <c:pt idx="5">
                  <c:v>-9.1264876592553335E-2</c:v>
                </c:pt>
              </c:numCache>
            </c:numRef>
          </c:val>
          <c:extLst>
            <c:ext xmlns:c16="http://schemas.microsoft.com/office/drawing/2014/chart" uri="{C3380CC4-5D6E-409C-BE32-E72D297353CC}">
              <c16:uniqueId val="{00000000-F960-BB4F-BD34-BCF205902E4E}"/>
            </c:ext>
          </c:extLst>
        </c:ser>
        <c:dLbls>
          <c:showLegendKey val="0"/>
          <c:showVal val="0"/>
          <c:showCatName val="0"/>
          <c:showSerName val="0"/>
          <c:showPercent val="0"/>
          <c:showBubbleSize val="0"/>
        </c:dLbls>
        <c:gapWidth val="100"/>
        <c:overlap val="-24"/>
        <c:axId val="1630279359"/>
        <c:axId val="1168837247"/>
      </c:barChart>
      <c:catAx>
        <c:axId val="163027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68837247"/>
        <c:crosses val="autoZero"/>
        <c:auto val="1"/>
        <c:lblAlgn val="ctr"/>
        <c:lblOffset val="100"/>
        <c:noMultiLvlLbl val="0"/>
      </c:catAx>
      <c:valAx>
        <c:axId val="1168837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30279359"/>
        <c:crosses val="autoZero"/>
        <c:crossBetween val="between"/>
      </c:valAx>
      <c:spPr>
        <a:noFill/>
        <a:ln>
          <a:noFill/>
        </a:ln>
        <a:effectLst/>
      </c:spPr>
    </c:plotArea>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R&amp;D Expenses Margin to OpEx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Data'!$F$176</c:f>
              <c:strCache>
                <c:ptCount val="1"/>
                <c:pt idx="0">
                  <c:v>2020</c:v>
                </c:pt>
              </c:strCache>
            </c:strRef>
          </c:tx>
          <c:spPr>
            <a:solidFill>
              <a:schemeClr val="accent1"/>
            </a:solidFill>
            <a:ln>
              <a:noFill/>
            </a:ln>
            <a:effectLst/>
          </c:spPr>
          <c:invertIfNegative val="0"/>
          <c:cat>
            <c:strRef>
              <c:f>'Master Data'!$A$177:$A$182</c:f>
              <c:strCache>
                <c:ptCount val="6"/>
                <c:pt idx="0">
                  <c:v>NVIDIA</c:v>
                </c:pt>
                <c:pt idx="1">
                  <c:v>AMD</c:v>
                </c:pt>
                <c:pt idx="2">
                  <c:v>Qualcomm</c:v>
                </c:pt>
                <c:pt idx="3">
                  <c:v>ARM</c:v>
                </c:pt>
                <c:pt idx="4">
                  <c:v>TSMC</c:v>
                </c:pt>
                <c:pt idx="5">
                  <c:v>Intel</c:v>
                </c:pt>
              </c:strCache>
            </c:strRef>
          </c:cat>
          <c:val>
            <c:numRef>
              <c:f>'Master Data'!$F$177:$F$182</c:f>
              <c:numCache>
                <c:formatCode>0.00%</c:formatCode>
                <c:ptCount val="6"/>
                <c:pt idx="0">
                  <c:v>0.72131565527791941</c:v>
                </c:pt>
                <c:pt idx="1">
                  <c:v>0.66588314304902618</c:v>
                </c:pt>
                <c:pt idx="2">
                  <c:v>0.6328108451599237</c:v>
                </c:pt>
                <c:pt idx="3">
                  <c:v>0.49543517954960437</c:v>
                </c:pt>
                <c:pt idx="4">
                  <c:v>0.77494014365522745</c:v>
                </c:pt>
                <c:pt idx="5">
                  <c:v>0.68686663964329142</c:v>
                </c:pt>
              </c:numCache>
            </c:numRef>
          </c:val>
          <c:extLst>
            <c:ext xmlns:c16="http://schemas.microsoft.com/office/drawing/2014/chart" uri="{C3380CC4-5D6E-409C-BE32-E72D297353CC}">
              <c16:uniqueId val="{00000000-F8DF-0341-BE56-F8EF5F5924B8}"/>
            </c:ext>
          </c:extLst>
        </c:ser>
        <c:ser>
          <c:idx val="1"/>
          <c:order val="1"/>
          <c:tx>
            <c:strRef>
              <c:f>'Master Data'!$E$176</c:f>
              <c:strCache>
                <c:ptCount val="1"/>
                <c:pt idx="0">
                  <c:v>2021</c:v>
                </c:pt>
              </c:strCache>
            </c:strRef>
          </c:tx>
          <c:spPr>
            <a:solidFill>
              <a:schemeClr val="accent2"/>
            </a:solidFill>
            <a:ln>
              <a:noFill/>
            </a:ln>
            <a:effectLst/>
          </c:spPr>
          <c:invertIfNegative val="0"/>
          <c:cat>
            <c:strRef>
              <c:f>'Master Data'!$A$177:$A$182</c:f>
              <c:strCache>
                <c:ptCount val="6"/>
                <c:pt idx="0">
                  <c:v>NVIDIA</c:v>
                </c:pt>
                <c:pt idx="1">
                  <c:v>AMD</c:v>
                </c:pt>
                <c:pt idx="2">
                  <c:v>Qualcomm</c:v>
                </c:pt>
                <c:pt idx="3">
                  <c:v>ARM</c:v>
                </c:pt>
                <c:pt idx="4">
                  <c:v>TSMC</c:v>
                </c:pt>
                <c:pt idx="5">
                  <c:v>Intel</c:v>
                </c:pt>
              </c:strCache>
            </c:strRef>
          </c:cat>
          <c:val>
            <c:numRef>
              <c:f>'Master Data'!$E$177:$E$182</c:f>
              <c:numCache>
                <c:formatCode>0.00%</c:formatCode>
                <c:ptCount val="6"/>
                <c:pt idx="0">
                  <c:v>0.66916780354706684</c:v>
                </c:pt>
                <c:pt idx="1">
                  <c:v>0.66456435412286852</c:v>
                </c:pt>
                <c:pt idx="2">
                  <c:v>0.64666125979994593</c:v>
                </c:pt>
                <c:pt idx="3">
                  <c:v>0.51315110881897885</c:v>
                </c:pt>
                <c:pt idx="4">
                  <c:v>0.77777777777777779</c:v>
                </c:pt>
                <c:pt idx="5">
                  <c:v>0.69893710026227396</c:v>
                </c:pt>
              </c:numCache>
            </c:numRef>
          </c:val>
          <c:extLst>
            <c:ext xmlns:c16="http://schemas.microsoft.com/office/drawing/2014/chart" uri="{C3380CC4-5D6E-409C-BE32-E72D297353CC}">
              <c16:uniqueId val="{00000001-F8DF-0341-BE56-F8EF5F5924B8}"/>
            </c:ext>
          </c:extLst>
        </c:ser>
        <c:ser>
          <c:idx val="2"/>
          <c:order val="2"/>
          <c:tx>
            <c:strRef>
              <c:f>'Master Data'!$D$176</c:f>
              <c:strCache>
                <c:ptCount val="1"/>
                <c:pt idx="0">
                  <c:v>2022</c:v>
                </c:pt>
              </c:strCache>
            </c:strRef>
          </c:tx>
          <c:spPr>
            <a:solidFill>
              <a:schemeClr val="accent3"/>
            </a:solidFill>
            <a:ln>
              <a:noFill/>
            </a:ln>
            <a:effectLst/>
          </c:spPr>
          <c:invertIfNegative val="0"/>
          <c:cat>
            <c:strRef>
              <c:f>'Master Data'!$A$177:$A$182</c:f>
              <c:strCache>
                <c:ptCount val="6"/>
                <c:pt idx="0">
                  <c:v>NVIDIA</c:v>
                </c:pt>
                <c:pt idx="1">
                  <c:v>AMD</c:v>
                </c:pt>
                <c:pt idx="2">
                  <c:v>Qualcomm</c:v>
                </c:pt>
                <c:pt idx="3">
                  <c:v>ARM</c:v>
                </c:pt>
                <c:pt idx="4">
                  <c:v>TSMC</c:v>
                </c:pt>
                <c:pt idx="5">
                  <c:v>Intel</c:v>
                </c:pt>
              </c:strCache>
            </c:strRef>
          </c:cat>
          <c:val>
            <c:numRef>
              <c:f>'Master Data'!$D$177:$D$182</c:f>
              <c:numCache>
                <c:formatCode>0.00%</c:formatCode>
                <c:ptCount val="6"/>
                <c:pt idx="0">
                  <c:v>0.70863599677158995</c:v>
                </c:pt>
                <c:pt idx="1">
                  <c:v>0.53592461719670204</c:v>
                </c:pt>
                <c:pt idx="2">
                  <c:v>0.65415934855500557</c:v>
                </c:pt>
                <c:pt idx="3">
                  <c:v>0.59568874868559407</c:v>
                </c:pt>
                <c:pt idx="4">
                  <c:v>0.79951219512195126</c:v>
                </c:pt>
                <c:pt idx="5">
                  <c:v>0.71455360782715038</c:v>
                </c:pt>
              </c:numCache>
            </c:numRef>
          </c:val>
          <c:extLst>
            <c:ext xmlns:c16="http://schemas.microsoft.com/office/drawing/2014/chart" uri="{C3380CC4-5D6E-409C-BE32-E72D297353CC}">
              <c16:uniqueId val="{00000002-F8DF-0341-BE56-F8EF5F5924B8}"/>
            </c:ext>
          </c:extLst>
        </c:ser>
        <c:ser>
          <c:idx val="3"/>
          <c:order val="3"/>
          <c:tx>
            <c:strRef>
              <c:f>'Master Data'!$C$176</c:f>
              <c:strCache>
                <c:ptCount val="1"/>
                <c:pt idx="0">
                  <c:v>2023</c:v>
                </c:pt>
              </c:strCache>
            </c:strRef>
          </c:tx>
          <c:spPr>
            <a:solidFill>
              <a:schemeClr val="accent4"/>
            </a:solidFill>
            <a:ln>
              <a:noFill/>
            </a:ln>
            <a:effectLst/>
          </c:spPr>
          <c:invertIfNegative val="0"/>
          <c:cat>
            <c:strRef>
              <c:f>'Master Data'!$A$177:$A$182</c:f>
              <c:strCache>
                <c:ptCount val="6"/>
                <c:pt idx="0">
                  <c:v>NVIDIA</c:v>
                </c:pt>
                <c:pt idx="1">
                  <c:v>AMD</c:v>
                </c:pt>
                <c:pt idx="2">
                  <c:v>Qualcomm</c:v>
                </c:pt>
                <c:pt idx="3">
                  <c:v>ARM</c:v>
                </c:pt>
                <c:pt idx="4">
                  <c:v>TSMC</c:v>
                </c:pt>
                <c:pt idx="5">
                  <c:v>Intel</c:v>
                </c:pt>
              </c:strCache>
            </c:strRef>
          </c:cat>
          <c:val>
            <c:numRef>
              <c:f>'Master Data'!$C$177:$C$182</c:f>
              <c:numCache>
                <c:formatCode>0.00%</c:formatCode>
                <c:ptCount val="6"/>
                <c:pt idx="0">
                  <c:v>0.65927057132590727</c:v>
                </c:pt>
                <c:pt idx="1">
                  <c:v>0.5837558405408092</c:v>
                </c:pt>
                <c:pt idx="2">
                  <c:v>0.67261632341723876</c:v>
                </c:pt>
                <c:pt idx="3">
                  <c:v>0.6667789757412399</c:v>
                </c:pt>
                <c:pt idx="4">
                  <c:v>0.79258605472197718</c:v>
                </c:pt>
                <c:pt idx="5">
                  <c:v>0.74012915129151291</c:v>
                </c:pt>
              </c:numCache>
            </c:numRef>
          </c:val>
          <c:extLst>
            <c:ext xmlns:c16="http://schemas.microsoft.com/office/drawing/2014/chart" uri="{C3380CC4-5D6E-409C-BE32-E72D297353CC}">
              <c16:uniqueId val="{00000003-F8DF-0341-BE56-F8EF5F5924B8}"/>
            </c:ext>
          </c:extLst>
        </c:ser>
        <c:ser>
          <c:idx val="4"/>
          <c:order val="4"/>
          <c:tx>
            <c:strRef>
              <c:f>'Master Data'!$B$176</c:f>
              <c:strCache>
                <c:ptCount val="1"/>
                <c:pt idx="0">
                  <c:v>2024</c:v>
                </c:pt>
              </c:strCache>
            </c:strRef>
          </c:tx>
          <c:spPr>
            <a:solidFill>
              <a:schemeClr val="accent5"/>
            </a:solidFill>
            <a:ln>
              <a:noFill/>
            </a:ln>
            <a:effectLst/>
          </c:spPr>
          <c:invertIfNegative val="0"/>
          <c:cat>
            <c:strRef>
              <c:f>'Master Data'!$A$177:$A$182</c:f>
              <c:strCache>
                <c:ptCount val="6"/>
                <c:pt idx="0">
                  <c:v>NVIDIA</c:v>
                </c:pt>
                <c:pt idx="1">
                  <c:v>AMD</c:v>
                </c:pt>
                <c:pt idx="2">
                  <c:v>Qualcomm</c:v>
                </c:pt>
                <c:pt idx="3">
                  <c:v>ARM</c:v>
                </c:pt>
                <c:pt idx="4">
                  <c:v>TSMC</c:v>
                </c:pt>
                <c:pt idx="5">
                  <c:v>Intel</c:v>
                </c:pt>
              </c:strCache>
            </c:strRef>
          </c:cat>
          <c:val>
            <c:numRef>
              <c:f>'Master Data'!$B$177:$B$182</c:f>
              <c:numCache>
                <c:formatCode>0.00%</c:formatCode>
                <c:ptCount val="6"/>
                <c:pt idx="0">
                  <c:v>0.76573395710124459</c:v>
                </c:pt>
                <c:pt idx="1">
                  <c:v>0.5963972286374134</c:v>
                </c:pt>
                <c:pt idx="2">
                  <c:v>0.66574337475670009</c:v>
                </c:pt>
                <c:pt idx="3">
                  <c:v>0.6779050736497545</c:v>
                </c:pt>
                <c:pt idx="4">
                  <c:v>0.78741092636579568</c:v>
                </c:pt>
                <c:pt idx="5">
                  <c:v>0.7502834081530857</c:v>
                </c:pt>
              </c:numCache>
            </c:numRef>
          </c:val>
          <c:extLst>
            <c:ext xmlns:c16="http://schemas.microsoft.com/office/drawing/2014/chart" uri="{C3380CC4-5D6E-409C-BE32-E72D297353CC}">
              <c16:uniqueId val="{00000004-F8DF-0341-BE56-F8EF5F5924B8}"/>
            </c:ext>
          </c:extLst>
        </c:ser>
        <c:dLbls>
          <c:showLegendKey val="0"/>
          <c:showVal val="0"/>
          <c:showCatName val="0"/>
          <c:showSerName val="0"/>
          <c:showPercent val="0"/>
          <c:showBubbleSize val="0"/>
        </c:dLbls>
        <c:gapWidth val="219"/>
        <c:overlap val="-27"/>
        <c:axId val="1717204095"/>
        <c:axId val="1717197823"/>
      </c:barChart>
      <c:catAx>
        <c:axId val="171720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97823"/>
        <c:crosses val="autoZero"/>
        <c:auto val="1"/>
        <c:lblAlgn val="ctr"/>
        <c:lblOffset val="100"/>
        <c:noMultiLvlLbl val="0"/>
      </c:catAx>
      <c:valAx>
        <c:axId val="1717197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04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Data Center/AI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Data'!$J$78</c:f>
              <c:strCache>
                <c:ptCount val="1"/>
                <c:pt idx="0">
                  <c:v>NVIDIA</c:v>
                </c:pt>
              </c:strCache>
            </c:strRef>
          </c:tx>
          <c:spPr>
            <a:solidFill>
              <a:schemeClr val="accent1"/>
            </a:solidFill>
            <a:ln>
              <a:noFill/>
            </a:ln>
            <a:effectLst/>
          </c:spPr>
          <c:invertIfNegative val="0"/>
          <c:cat>
            <c:numRef>
              <c:f>('Master Data'!$O$77,'Master Data'!$N$77,'Master Data'!$M$77,'Master Data'!$L$77,'Master Data'!$K$77)</c:f>
              <c:numCache>
                <c:formatCode>General</c:formatCode>
                <c:ptCount val="5"/>
                <c:pt idx="0">
                  <c:v>2020</c:v>
                </c:pt>
                <c:pt idx="1">
                  <c:v>2021</c:v>
                </c:pt>
                <c:pt idx="2">
                  <c:v>2022</c:v>
                </c:pt>
                <c:pt idx="3">
                  <c:v>2023</c:v>
                </c:pt>
                <c:pt idx="4">
                  <c:v>2024</c:v>
                </c:pt>
              </c:numCache>
            </c:numRef>
          </c:cat>
          <c:val>
            <c:numRef>
              <c:f>('Master Data'!$O$78,'Master Data'!$N$78,'Master Data'!$M$78,'Master Data'!$L$78,'Master Data'!$K$78)</c:f>
              <c:numCache>
                <c:formatCode>0.00%</c:formatCode>
                <c:ptCount val="5"/>
                <c:pt idx="0">
                  <c:v>0.27321853819380837</c:v>
                </c:pt>
                <c:pt idx="1">
                  <c:v>0.40155922038980507</c:v>
                </c:pt>
                <c:pt idx="2">
                  <c:v>0.39433008842981349</c:v>
                </c:pt>
                <c:pt idx="3">
                  <c:v>0.55627641432490549</c:v>
                </c:pt>
                <c:pt idx="4">
                  <c:v>0.78009586028035849</c:v>
                </c:pt>
              </c:numCache>
            </c:numRef>
          </c:val>
          <c:extLst>
            <c:ext xmlns:c16="http://schemas.microsoft.com/office/drawing/2014/chart" uri="{C3380CC4-5D6E-409C-BE32-E72D297353CC}">
              <c16:uniqueId val="{00000000-A2AD-3848-82F4-339A59257931}"/>
            </c:ext>
          </c:extLst>
        </c:ser>
        <c:ser>
          <c:idx val="1"/>
          <c:order val="1"/>
          <c:tx>
            <c:strRef>
              <c:f>'Master Data'!$J$79</c:f>
              <c:strCache>
                <c:ptCount val="1"/>
                <c:pt idx="0">
                  <c:v>AMD</c:v>
                </c:pt>
              </c:strCache>
            </c:strRef>
          </c:tx>
          <c:spPr>
            <a:solidFill>
              <a:schemeClr val="accent2"/>
            </a:solidFill>
            <a:ln>
              <a:noFill/>
            </a:ln>
            <a:effectLst/>
          </c:spPr>
          <c:invertIfNegative val="0"/>
          <c:cat>
            <c:numRef>
              <c:f>('Master Data'!$O$77,'Master Data'!$N$77,'Master Data'!$M$77,'Master Data'!$L$77,'Master Data'!$K$77)</c:f>
              <c:numCache>
                <c:formatCode>General</c:formatCode>
                <c:ptCount val="5"/>
                <c:pt idx="0">
                  <c:v>2020</c:v>
                </c:pt>
                <c:pt idx="1">
                  <c:v>2021</c:v>
                </c:pt>
                <c:pt idx="2">
                  <c:v>2022</c:v>
                </c:pt>
                <c:pt idx="3">
                  <c:v>2023</c:v>
                </c:pt>
                <c:pt idx="4">
                  <c:v>2024</c:v>
                </c:pt>
              </c:numCache>
            </c:numRef>
          </c:cat>
          <c:val>
            <c:numRef>
              <c:f>('Master Data'!$O$79,'Master Data'!$N$79,'Master Data'!$M$79,'Master Data'!$L$79,'Master Data'!$K$79)</c:f>
              <c:numCache>
                <c:formatCode>0.00%</c:formatCode>
                <c:ptCount val="5"/>
                <c:pt idx="0">
                  <c:v>0.17259039229744955</c:v>
                </c:pt>
                <c:pt idx="1">
                  <c:v>0.22477789947669466</c:v>
                </c:pt>
                <c:pt idx="2">
                  <c:v>0.25604847252235075</c:v>
                </c:pt>
                <c:pt idx="3">
                  <c:v>0.28641975308641976</c:v>
                </c:pt>
                <c:pt idx="4">
                  <c:v>0.48784176847004074</c:v>
                </c:pt>
              </c:numCache>
            </c:numRef>
          </c:val>
          <c:extLst>
            <c:ext xmlns:c16="http://schemas.microsoft.com/office/drawing/2014/chart" uri="{C3380CC4-5D6E-409C-BE32-E72D297353CC}">
              <c16:uniqueId val="{00000001-A2AD-3848-82F4-339A59257931}"/>
            </c:ext>
          </c:extLst>
        </c:ser>
        <c:ser>
          <c:idx val="2"/>
          <c:order val="2"/>
          <c:tx>
            <c:strRef>
              <c:f>'Master Data'!$J$81</c:f>
              <c:strCache>
                <c:ptCount val="1"/>
                <c:pt idx="0">
                  <c:v>Intel</c:v>
                </c:pt>
              </c:strCache>
            </c:strRef>
          </c:tx>
          <c:spPr>
            <a:solidFill>
              <a:schemeClr val="accent3"/>
            </a:solidFill>
            <a:ln>
              <a:noFill/>
            </a:ln>
            <a:effectLst/>
          </c:spPr>
          <c:invertIfNegative val="0"/>
          <c:cat>
            <c:numRef>
              <c:f>('Master Data'!$O$77,'Master Data'!$N$77,'Master Data'!$M$77,'Master Data'!$L$77,'Master Data'!$K$77)</c:f>
              <c:numCache>
                <c:formatCode>General</c:formatCode>
                <c:ptCount val="5"/>
                <c:pt idx="0">
                  <c:v>2020</c:v>
                </c:pt>
                <c:pt idx="1">
                  <c:v>2021</c:v>
                </c:pt>
                <c:pt idx="2">
                  <c:v>2022</c:v>
                </c:pt>
                <c:pt idx="3">
                  <c:v>2023</c:v>
                </c:pt>
                <c:pt idx="4">
                  <c:v>2024</c:v>
                </c:pt>
              </c:numCache>
            </c:numRef>
          </c:cat>
          <c:val>
            <c:numRef>
              <c:f>('Master Data'!$O$81,'Master Data'!$N$81,'Master Data'!$M$81,'Master Data'!$L$81,'Master Data'!$K$81)</c:f>
              <c:numCache>
                <c:formatCode>0.00%</c:formatCode>
                <c:ptCount val="5"/>
                <c:pt idx="0">
                  <c:v>0.29823958014878221</c:v>
                </c:pt>
                <c:pt idx="1">
                  <c:v>0.28819092933792267</c:v>
                </c:pt>
                <c:pt idx="2">
                  <c:v>0.30838646239731027</c:v>
                </c:pt>
                <c:pt idx="3">
                  <c:v>0.28621745223869588</c:v>
                </c:pt>
                <c:pt idx="4">
                  <c:v>0.24137021901659103</c:v>
                </c:pt>
              </c:numCache>
            </c:numRef>
          </c:val>
          <c:extLst>
            <c:ext xmlns:c16="http://schemas.microsoft.com/office/drawing/2014/chart" uri="{C3380CC4-5D6E-409C-BE32-E72D297353CC}">
              <c16:uniqueId val="{00000002-A2AD-3848-82F4-339A59257931}"/>
            </c:ext>
          </c:extLst>
        </c:ser>
        <c:dLbls>
          <c:showLegendKey val="0"/>
          <c:showVal val="0"/>
          <c:showCatName val="0"/>
          <c:showSerName val="0"/>
          <c:showPercent val="0"/>
          <c:showBubbleSize val="0"/>
        </c:dLbls>
        <c:gapWidth val="219"/>
        <c:overlap val="-27"/>
        <c:axId val="2000632703"/>
        <c:axId val="2000630015"/>
      </c:barChart>
      <c:catAx>
        <c:axId val="200063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30015"/>
        <c:crosses val="autoZero"/>
        <c:auto val="1"/>
        <c:lblAlgn val="ctr"/>
        <c:lblOffset val="100"/>
        <c:noMultiLvlLbl val="0"/>
      </c:catAx>
      <c:valAx>
        <c:axId val="2000630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32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Gaming/Graphics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Data'!$J$84</c:f>
              <c:strCache>
                <c:ptCount val="1"/>
                <c:pt idx="0">
                  <c:v>NVIDIA</c:v>
                </c:pt>
              </c:strCache>
            </c:strRef>
          </c:tx>
          <c:spPr>
            <a:solidFill>
              <a:schemeClr val="accent1"/>
            </a:solidFill>
            <a:ln>
              <a:noFill/>
            </a:ln>
            <a:effectLst/>
          </c:spPr>
          <c:invertIfNegative val="0"/>
          <c:cat>
            <c:numRef>
              <c:f>('Master Data'!$O$83,'Master Data'!$N$83,'Master Data'!$M$83,'Master Data'!$L$83,'Master Data'!$K$83)</c:f>
              <c:numCache>
                <c:formatCode>General</c:formatCode>
                <c:ptCount val="5"/>
                <c:pt idx="0">
                  <c:v>2020</c:v>
                </c:pt>
                <c:pt idx="1">
                  <c:v>2021</c:v>
                </c:pt>
                <c:pt idx="2">
                  <c:v>2022</c:v>
                </c:pt>
                <c:pt idx="3">
                  <c:v>2023</c:v>
                </c:pt>
                <c:pt idx="4">
                  <c:v>2024</c:v>
                </c:pt>
              </c:numCache>
            </c:numRef>
          </c:cat>
          <c:val>
            <c:numRef>
              <c:f>('Master Data'!$O$84,'Master Data'!$N$84,'Master Data'!$M$84,'Master Data'!$L$84,'Master Data'!$K$84)</c:f>
              <c:numCache>
                <c:formatCode>0.00%</c:formatCode>
                <c:ptCount val="5"/>
                <c:pt idx="0">
                  <c:v>0.50540392013189228</c:v>
                </c:pt>
                <c:pt idx="1">
                  <c:v>0.46530734632683657</c:v>
                </c:pt>
                <c:pt idx="2">
                  <c:v>0.46303039310396077</c:v>
                </c:pt>
                <c:pt idx="3">
                  <c:v>0.3361385037443464</c:v>
                </c:pt>
                <c:pt idx="4">
                  <c:v>0.17148156659334887</c:v>
                </c:pt>
              </c:numCache>
            </c:numRef>
          </c:val>
          <c:extLst>
            <c:ext xmlns:c16="http://schemas.microsoft.com/office/drawing/2014/chart" uri="{C3380CC4-5D6E-409C-BE32-E72D297353CC}">
              <c16:uniqueId val="{00000000-9FE2-DD43-9679-AA1B9F08920F}"/>
            </c:ext>
          </c:extLst>
        </c:ser>
        <c:ser>
          <c:idx val="1"/>
          <c:order val="1"/>
          <c:tx>
            <c:strRef>
              <c:f>'Master Data'!$J$85</c:f>
              <c:strCache>
                <c:ptCount val="1"/>
                <c:pt idx="0">
                  <c:v>AMD</c:v>
                </c:pt>
              </c:strCache>
            </c:strRef>
          </c:tx>
          <c:spPr>
            <a:solidFill>
              <a:schemeClr val="accent2"/>
            </a:solidFill>
            <a:ln>
              <a:noFill/>
            </a:ln>
            <a:effectLst/>
          </c:spPr>
          <c:invertIfNegative val="0"/>
          <c:cat>
            <c:numRef>
              <c:f>('Master Data'!$O$83,'Master Data'!$N$83,'Master Data'!$M$83,'Master Data'!$L$83,'Master Data'!$K$83)</c:f>
              <c:numCache>
                <c:formatCode>General</c:formatCode>
                <c:ptCount val="5"/>
                <c:pt idx="0">
                  <c:v>2020</c:v>
                </c:pt>
                <c:pt idx="1">
                  <c:v>2021</c:v>
                </c:pt>
                <c:pt idx="2">
                  <c:v>2022</c:v>
                </c:pt>
                <c:pt idx="3">
                  <c:v>2023</c:v>
                </c:pt>
                <c:pt idx="4">
                  <c:v>2024</c:v>
                </c:pt>
              </c:numCache>
            </c:numRef>
          </c:cat>
          <c:val>
            <c:numRef>
              <c:f>('Master Data'!$O$85,'Master Data'!$N$85,'Master Data'!$M$85,'Master Data'!$L$85,'Master Data'!$K$85)</c:f>
              <c:numCache>
                <c:formatCode>0.00%</c:formatCode>
                <c:ptCount val="5"/>
                <c:pt idx="0">
                  <c:v>0.28126600430195636</c:v>
                </c:pt>
                <c:pt idx="1">
                  <c:v>0.34118291347207008</c:v>
                </c:pt>
                <c:pt idx="2">
                  <c:v>0.28833524003220201</c:v>
                </c:pt>
                <c:pt idx="3">
                  <c:v>0.27389770723104057</c:v>
                </c:pt>
                <c:pt idx="4">
                  <c:v>0.10063990692262943</c:v>
                </c:pt>
              </c:numCache>
            </c:numRef>
          </c:val>
          <c:extLst>
            <c:ext xmlns:c16="http://schemas.microsoft.com/office/drawing/2014/chart" uri="{C3380CC4-5D6E-409C-BE32-E72D297353CC}">
              <c16:uniqueId val="{00000001-9FE2-DD43-9679-AA1B9F08920F}"/>
            </c:ext>
          </c:extLst>
        </c:ser>
        <c:dLbls>
          <c:showLegendKey val="0"/>
          <c:showVal val="0"/>
          <c:showCatName val="0"/>
          <c:showSerName val="0"/>
          <c:showPercent val="0"/>
          <c:showBubbleSize val="0"/>
        </c:dLbls>
        <c:gapWidth val="219"/>
        <c:overlap val="-27"/>
        <c:axId val="2054857471"/>
        <c:axId val="2054933567"/>
      </c:barChart>
      <c:catAx>
        <c:axId val="205485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933567"/>
        <c:crosses val="autoZero"/>
        <c:auto val="1"/>
        <c:lblAlgn val="ctr"/>
        <c:lblOffset val="100"/>
        <c:noMultiLvlLbl val="0"/>
      </c:catAx>
      <c:valAx>
        <c:axId val="2054933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5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Consumer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Data'!$J$90</c:f>
              <c:strCache>
                <c:ptCount val="1"/>
                <c:pt idx="0">
                  <c:v>NVIDIA</c:v>
                </c:pt>
              </c:strCache>
            </c:strRef>
          </c:tx>
          <c:spPr>
            <a:solidFill>
              <a:schemeClr val="accent1"/>
            </a:solidFill>
            <a:ln>
              <a:noFill/>
            </a:ln>
            <a:effectLst/>
          </c:spPr>
          <c:invertIfNegative val="0"/>
          <c:cat>
            <c:numRef>
              <c:f>('Master Data'!$O$89,'Master Data'!$N$89,'Master Data'!$M$89,'Master Data'!$L$89,'Master Data'!$K$89)</c:f>
              <c:numCache>
                <c:formatCode>General</c:formatCode>
                <c:ptCount val="5"/>
                <c:pt idx="0">
                  <c:v>2020</c:v>
                </c:pt>
                <c:pt idx="1">
                  <c:v>2021</c:v>
                </c:pt>
                <c:pt idx="2">
                  <c:v>2022</c:v>
                </c:pt>
                <c:pt idx="3">
                  <c:v>2023</c:v>
                </c:pt>
                <c:pt idx="4">
                  <c:v>2024</c:v>
                </c:pt>
              </c:numCache>
            </c:numRef>
          </c:cat>
          <c:val>
            <c:numRef>
              <c:f>('Master Data'!$O$90,'Master Data'!$N$90,'Master Data'!$M$90,'Master Data'!$L$90,'Master Data'!$K$90)</c:f>
              <c:numCache>
                <c:formatCode>0.00%</c:formatCode>
                <c:ptCount val="5"/>
                <c:pt idx="0">
                  <c:v>4.6253892654332295E-2</c:v>
                </c:pt>
                <c:pt idx="1">
                  <c:v>3.7841079460269864E-2</c:v>
                </c:pt>
                <c:pt idx="2">
                  <c:v>4.3174555993163409E-2</c:v>
                </c:pt>
                <c:pt idx="3">
                  <c:v>1.6868095202787869E-2</c:v>
                </c:pt>
                <c:pt idx="4">
                  <c:v>5.0228160598798461E-3</c:v>
                </c:pt>
              </c:numCache>
            </c:numRef>
          </c:val>
          <c:extLst>
            <c:ext xmlns:c16="http://schemas.microsoft.com/office/drawing/2014/chart" uri="{C3380CC4-5D6E-409C-BE32-E72D297353CC}">
              <c16:uniqueId val="{00000000-BB20-1242-BDFE-618685CF0393}"/>
            </c:ext>
          </c:extLst>
        </c:ser>
        <c:ser>
          <c:idx val="1"/>
          <c:order val="1"/>
          <c:tx>
            <c:strRef>
              <c:f>'Master Data'!$J$91</c:f>
              <c:strCache>
                <c:ptCount val="1"/>
                <c:pt idx="0">
                  <c:v>AMD</c:v>
                </c:pt>
              </c:strCache>
            </c:strRef>
          </c:tx>
          <c:spPr>
            <a:solidFill>
              <a:schemeClr val="accent2"/>
            </a:solidFill>
            <a:ln>
              <a:noFill/>
            </a:ln>
            <a:effectLst/>
          </c:spPr>
          <c:invertIfNegative val="0"/>
          <c:cat>
            <c:numRef>
              <c:f>('Master Data'!$O$89,'Master Data'!$N$89,'Master Data'!$M$89,'Master Data'!$L$89,'Master Data'!$K$89)</c:f>
              <c:numCache>
                <c:formatCode>General</c:formatCode>
                <c:ptCount val="5"/>
                <c:pt idx="0">
                  <c:v>2020</c:v>
                </c:pt>
                <c:pt idx="1">
                  <c:v>2021</c:v>
                </c:pt>
                <c:pt idx="2">
                  <c:v>2022</c:v>
                </c:pt>
                <c:pt idx="3">
                  <c:v>2023</c:v>
                </c:pt>
                <c:pt idx="4">
                  <c:v>2024</c:v>
                </c:pt>
              </c:numCache>
            </c:numRef>
          </c:cat>
          <c:val>
            <c:numRef>
              <c:f>('Master Data'!$O$91,'Master Data'!$N$91,'Master Data'!$M$91,'Master Data'!$L$91,'Master Data'!$K$91)</c:f>
              <c:numCache>
                <c:formatCode>0.00%</c:formatCode>
                <c:ptCount val="5"/>
                <c:pt idx="0">
                  <c:v>0.53149646625012803</c:v>
                </c:pt>
                <c:pt idx="1">
                  <c:v>0.41907022027503954</c:v>
                </c:pt>
                <c:pt idx="2">
                  <c:v>0.26274310410575824</c:v>
                </c:pt>
                <c:pt idx="3">
                  <c:v>0.20507054673721339</c:v>
                </c:pt>
                <c:pt idx="4">
                  <c:v>0.27356990498351758</c:v>
                </c:pt>
              </c:numCache>
            </c:numRef>
          </c:val>
          <c:extLst>
            <c:ext xmlns:c16="http://schemas.microsoft.com/office/drawing/2014/chart" uri="{C3380CC4-5D6E-409C-BE32-E72D297353CC}">
              <c16:uniqueId val="{00000001-BB20-1242-BDFE-618685CF0393}"/>
            </c:ext>
          </c:extLst>
        </c:ser>
        <c:ser>
          <c:idx val="2"/>
          <c:order val="2"/>
          <c:tx>
            <c:strRef>
              <c:f>'Master Data'!$J$92</c:f>
              <c:strCache>
                <c:ptCount val="1"/>
                <c:pt idx="0">
                  <c:v>Qualcomm</c:v>
                </c:pt>
              </c:strCache>
            </c:strRef>
          </c:tx>
          <c:spPr>
            <a:solidFill>
              <a:schemeClr val="accent3"/>
            </a:solidFill>
            <a:ln>
              <a:noFill/>
            </a:ln>
            <a:effectLst/>
          </c:spPr>
          <c:invertIfNegative val="0"/>
          <c:cat>
            <c:numRef>
              <c:f>('Master Data'!$O$89,'Master Data'!$N$89,'Master Data'!$M$89,'Master Data'!$L$89,'Master Data'!$K$89)</c:f>
              <c:numCache>
                <c:formatCode>General</c:formatCode>
                <c:ptCount val="5"/>
                <c:pt idx="0">
                  <c:v>2020</c:v>
                </c:pt>
                <c:pt idx="1">
                  <c:v>2021</c:v>
                </c:pt>
                <c:pt idx="2">
                  <c:v>2022</c:v>
                </c:pt>
                <c:pt idx="3">
                  <c:v>2023</c:v>
                </c:pt>
                <c:pt idx="4">
                  <c:v>2024</c:v>
                </c:pt>
              </c:numCache>
            </c:numRef>
          </c:cat>
          <c:val>
            <c:numRef>
              <c:f>('Master Data'!$O$92,'Master Data'!$N$92,'Master Data'!$M$92,'Master Data'!$L$92,'Master Data'!$K$92)</c:f>
              <c:numCache>
                <c:formatCode>0.00%</c:formatCode>
                <c:ptCount val="5"/>
                <c:pt idx="0">
                  <c:v>0.77748135572667187</c:v>
                </c:pt>
                <c:pt idx="1">
                  <c:v>0.77678670565157848</c:v>
                </c:pt>
                <c:pt idx="2">
                  <c:v>0.76479019030177564</c:v>
                </c:pt>
                <c:pt idx="3">
                  <c:v>0.74287407017312879</c:v>
                </c:pt>
                <c:pt idx="4">
                  <c:v>0.74897578021448363</c:v>
                </c:pt>
              </c:numCache>
            </c:numRef>
          </c:val>
          <c:extLst>
            <c:ext xmlns:c16="http://schemas.microsoft.com/office/drawing/2014/chart" uri="{C3380CC4-5D6E-409C-BE32-E72D297353CC}">
              <c16:uniqueId val="{00000002-BB20-1242-BDFE-618685CF0393}"/>
            </c:ext>
          </c:extLst>
        </c:ser>
        <c:ser>
          <c:idx val="3"/>
          <c:order val="3"/>
          <c:tx>
            <c:strRef>
              <c:f>'Master Data'!$J$93</c:f>
              <c:strCache>
                <c:ptCount val="1"/>
                <c:pt idx="0">
                  <c:v>Intel</c:v>
                </c:pt>
              </c:strCache>
            </c:strRef>
          </c:tx>
          <c:spPr>
            <a:solidFill>
              <a:schemeClr val="accent4"/>
            </a:solidFill>
            <a:ln>
              <a:noFill/>
            </a:ln>
            <a:effectLst/>
          </c:spPr>
          <c:invertIfNegative val="0"/>
          <c:cat>
            <c:numRef>
              <c:f>('Master Data'!$O$89,'Master Data'!$N$89,'Master Data'!$M$89,'Master Data'!$L$89,'Master Data'!$K$89)</c:f>
              <c:numCache>
                <c:formatCode>General</c:formatCode>
                <c:ptCount val="5"/>
                <c:pt idx="0">
                  <c:v>2020</c:v>
                </c:pt>
                <c:pt idx="1">
                  <c:v>2021</c:v>
                </c:pt>
                <c:pt idx="2">
                  <c:v>2022</c:v>
                </c:pt>
                <c:pt idx="3">
                  <c:v>2023</c:v>
                </c:pt>
                <c:pt idx="4">
                  <c:v>2024</c:v>
                </c:pt>
              </c:numCache>
            </c:numRef>
          </c:cat>
          <c:val>
            <c:numRef>
              <c:f>('Master Data'!$O$93,'Master Data'!$N$93,'Master Data'!$M$93,'Master Data'!$L$93,'Master Data'!$K$93)</c:f>
              <c:numCache>
                <c:formatCode>0.00%</c:formatCode>
                <c:ptCount val="5"/>
                <c:pt idx="0">
                  <c:v>0.51634311627432994</c:v>
                </c:pt>
                <c:pt idx="1">
                  <c:v>0.51985472767766749</c:v>
                </c:pt>
                <c:pt idx="2">
                  <c:v>0.50390141783233422</c:v>
                </c:pt>
                <c:pt idx="3">
                  <c:v>0.53953677067197758</c:v>
                </c:pt>
                <c:pt idx="4">
                  <c:v>0.57042240259128829</c:v>
                </c:pt>
              </c:numCache>
            </c:numRef>
          </c:val>
          <c:extLst>
            <c:ext xmlns:c16="http://schemas.microsoft.com/office/drawing/2014/chart" uri="{C3380CC4-5D6E-409C-BE32-E72D297353CC}">
              <c16:uniqueId val="{00000003-BB20-1242-BDFE-618685CF0393}"/>
            </c:ext>
          </c:extLst>
        </c:ser>
        <c:dLbls>
          <c:showLegendKey val="0"/>
          <c:showVal val="0"/>
          <c:showCatName val="0"/>
          <c:showSerName val="0"/>
          <c:showPercent val="0"/>
          <c:showBubbleSize val="0"/>
        </c:dLbls>
        <c:gapWidth val="219"/>
        <c:overlap val="-27"/>
        <c:axId val="2054690047"/>
        <c:axId val="2054692287"/>
      </c:barChart>
      <c:catAx>
        <c:axId val="20546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92287"/>
        <c:crosses val="autoZero"/>
        <c:auto val="1"/>
        <c:lblAlgn val="ctr"/>
        <c:lblOffset val="100"/>
        <c:noMultiLvlLbl val="0"/>
      </c:catAx>
      <c:valAx>
        <c:axId val="2054692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9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Embedded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Data'!$J$97</c:f>
              <c:strCache>
                <c:ptCount val="1"/>
                <c:pt idx="0">
                  <c:v>AMD</c:v>
                </c:pt>
              </c:strCache>
            </c:strRef>
          </c:tx>
          <c:spPr>
            <a:solidFill>
              <a:schemeClr val="accent1"/>
            </a:solidFill>
            <a:ln>
              <a:noFill/>
            </a:ln>
            <a:effectLst/>
          </c:spPr>
          <c:invertIfNegative val="0"/>
          <c:cat>
            <c:numRef>
              <c:f>('Master Data'!$O$95,'Master Data'!$N$95,'Master Data'!$M$95,'Master Data'!$L$95,'Master Data'!$K$95)</c:f>
              <c:numCache>
                <c:formatCode>General</c:formatCode>
                <c:ptCount val="5"/>
                <c:pt idx="0">
                  <c:v>2020</c:v>
                </c:pt>
                <c:pt idx="1">
                  <c:v>2021</c:v>
                </c:pt>
                <c:pt idx="2">
                  <c:v>2022</c:v>
                </c:pt>
                <c:pt idx="3">
                  <c:v>2023</c:v>
                </c:pt>
                <c:pt idx="4">
                  <c:v>2024</c:v>
                </c:pt>
              </c:numCache>
            </c:numRef>
          </c:cat>
          <c:val>
            <c:numRef>
              <c:f>('Master Data'!$O$97,'Master Data'!$N$97,'Master Data'!$M$97,'Master Data'!$L$97,'Master Data'!$K$97)</c:f>
              <c:numCache>
                <c:formatCode>0.00%</c:formatCode>
                <c:ptCount val="5"/>
                <c:pt idx="0">
                  <c:v>1.4647137150466045E-2</c:v>
                </c:pt>
                <c:pt idx="1">
                  <c:v>1.4968966776195691E-2</c:v>
                </c:pt>
                <c:pt idx="2">
                  <c:v>0.192873183339689</c:v>
                </c:pt>
                <c:pt idx="3">
                  <c:v>0.23461199294532628</c:v>
                </c:pt>
                <c:pt idx="4">
                  <c:v>0.1379484196238123</c:v>
                </c:pt>
              </c:numCache>
            </c:numRef>
          </c:val>
          <c:extLst>
            <c:ext xmlns:c16="http://schemas.microsoft.com/office/drawing/2014/chart" uri="{C3380CC4-5D6E-409C-BE32-E72D297353CC}">
              <c16:uniqueId val="{00000000-F50A-A848-88EB-DFBB10982477}"/>
            </c:ext>
          </c:extLst>
        </c:ser>
        <c:ser>
          <c:idx val="2"/>
          <c:order val="1"/>
          <c:tx>
            <c:strRef>
              <c:f>'Master Data'!$J$99</c:f>
              <c:strCache>
                <c:ptCount val="1"/>
                <c:pt idx="0">
                  <c:v>Intel</c:v>
                </c:pt>
              </c:strCache>
            </c:strRef>
          </c:tx>
          <c:spPr>
            <a:solidFill>
              <a:schemeClr val="accent3"/>
            </a:solidFill>
            <a:ln>
              <a:noFill/>
            </a:ln>
            <a:effectLst/>
          </c:spPr>
          <c:invertIfNegative val="0"/>
          <c:cat>
            <c:numRef>
              <c:f>('Master Data'!$O$95,'Master Data'!$N$95,'Master Data'!$M$95,'Master Data'!$L$95,'Master Data'!$K$95)</c:f>
              <c:numCache>
                <c:formatCode>General</c:formatCode>
                <c:ptCount val="5"/>
                <c:pt idx="0">
                  <c:v>2020</c:v>
                </c:pt>
                <c:pt idx="1">
                  <c:v>2021</c:v>
                </c:pt>
                <c:pt idx="2">
                  <c:v>2022</c:v>
                </c:pt>
                <c:pt idx="3">
                  <c:v>2023</c:v>
                </c:pt>
                <c:pt idx="4">
                  <c:v>2024</c:v>
                </c:pt>
              </c:numCache>
            </c:numRef>
          </c:cat>
          <c:val>
            <c:numRef>
              <c:f>('Master Data'!$O$99,'Master Data'!$N$99,'Master Data'!$M$99,'Master Data'!$L$99,'Master Data'!$K$99)</c:f>
              <c:numCache>
                <c:formatCode>0.00%</c:formatCode>
                <c:ptCount val="5"/>
                <c:pt idx="0">
                  <c:v>9.084887394272903E-2</c:v>
                </c:pt>
                <c:pt idx="1">
                  <c:v>9.6995849362219069E-2</c:v>
                </c:pt>
                <c:pt idx="2">
                  <c:v>0.13336188029308213</c:v>
                </c:pt>
                <c:pt idx="3">
                  <c:v>0.10647635907649185</c:v>
                </c:pt>
                <c:pt idx="4">
                  <c:v>0.11001676051298469</c:v>
                </c:pt>
              </c:numCache>
            </c:numRef>
          </c:val>
          <c:extLst>
            <c:ext xmlns:c16="http://schemas.microsoft.com/office/drawing/2014/chart" uri="{C3380CC4-5D6E-409C-BE32-E72D297353CC}">
              <c16:uniqueId val="{00000002-F50A-A848-88EB-DFBB10982477}"/>
            </c:ext>
          </c:extLst>
        </c:ser>
        <c:dLbls>
          <c:showLegendKey val="0"/>
          <c:showVal val="0"/>
          <c:showCatName val="0"/>
          <c:showSerName val="0"/>
          <c:showPercent val="0"/>
          <c:showBubbleSize val="0"/>
        </c:dLbls>
        <c:gapWidth val="219"/>
        <c:overlap val="-27"/>
        <c:axId val="2075705343"/>
        <c:axId val="2075715199"/>
      </c:barChart>
      <c:catAx>
        <c:axId val="207570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15199"/>
        <c:crosses val="autoZero"/>
        <c:auto val="1"/>
        <c:lblAlgn val="ctr"/>
        <c:lblOffset val="100"/>
        <c:noMultiLvlLbl val="0"/>
      </c:catAx>
      <c:valAx>
        <c:axId val="2075715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0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Automotive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Data'!$J$102</c:f>
              <c:strCache>
                <c:ptCount val="1"/>
                <c:pt idx="0">
                  <c:v>NVIDIA</c:v>
                </c:pt>
              </c:strCache>
            </c:strRef>
          </c:tx>
          <c:spPr>
            <a:solidFill>
              <a:schemeClr val="accent1"/>
            </a:solidFill>
            <a:ln>
              <a:noFill/>
            </a:ln>
            <a:effectLst/>
          </c:spPr>
          <c:invertIfNegative val="0"/>
          <c:cat>
            <c:numRef>
              <c:f>('Master Data'!$O$101,'Master Data'!$N$101,'Master Data'!$M$101,'Master Data'!$L$101,'Master Data'!$K$101)</c:f>
              <c:numCache>
                <c:formatCode>General</c:formatCode>
                <c:ptCount val="5"/>
                <c:pt idx="0">
                  <c:v>2020</c:v>
                </c:pt>
                <c:pt idx="1">
                  <c:v>2021</c:v>
                </c:pt>
                <c:pt idx="2">
                  <c:v>2022</c:v>
                </c:pt>
                <c:pt idx="3">
                  <c:v>2023</c:v>
                </c:pt>
                <c:pt idx="4">
                  <c:v>2024</c:v>
                </c:pt>
              </c:numCache>
            </c:numRef>
          </c:cat>
          <c:val>
            <c:numRef>
              <c:f>('Master Data'!$O$102,'Master Data'!$N$102,'Master Data'!$M$102,'Master Data'!$L$102,'Master Data'!$K$102)</c:f>
              <c:numCache>
                <c:formatCode>0.00%</c:formatCode>
                <c:ptCount val="5"/>
                <c:pt idx="0">
                  <c:v>6.4114306649569519E-2</c:v>
                </c:pt>
                <c:pt idx="1">
                  <c:v>3.2143928035982011E-2</c:v>
                </c:pt>
                <c:pt idx="2">
                  <c:v>2.1029947239354984E-2</c:v>
                </c:pt>
                <c:pt idx="3">
                  <c:v>3.3476681248609773E-2</c:v>
                </c:pt>
                <c:pt idx="4">
                  <c:v>1.7908144840944159E-2</c:v>
                </c:pt>
              </c:numCache>
            </c:numRef>
          </c:val>
          <c:extLst>
            <c:ext xmlns:c16="http://schemas.microsoft.com/office/drawing/2014/chart" uri="{C3380CC4-5D6E-409C-BE32-E72D297353CC}">
              <c16:uniqueId val="{00000000-8B13-7242-9E9F-78E1E4FB1278}"/>
            </c:ext>
          </c:extLst>
        </c:ser>
        <c:ser>
          <c:idx val="2"/>
          <c:order val="1"/>
          <c:tx>
            <c:strRef>
              <c:f>'Master Data'!$J$104</c:f>
              <c:strCache>
                <c:ptCount val="1"/>
                <c:pt idx="0">
                  <c:v>Qualcomm</c:v>
                </c:pt>
              </c:strCache>
            </c:strRef>
          </c:tx>
          <c:spPr>
            <a:solidFill>
              <a:schemeClr val="accent3"/>
            </a:solidFill>
            <a:ln>
              <a:noFill/>
            </a:ln>
            <a:effectLst/>
          </c:spPr>
          <c:invertIfNegative val="0"/>
          <c:cat>
            <c:numRef>
              <c:f>('Master Data'!$O$101,'Master Data'!$N$101,'Master Data'!$M$101,'Master Data'!$L$101,'Master Data'!$K$101)</c:f>
              <c:numCache>
                <c:formatCode>General</c:formatCode>
                <c:ptCount val="5"/>
                <c:pt idx="0">
                  <c:v>2020</c:v>
                </c:pt>
                <c:pt idx="1">
                  <c:v>2021</c:v>
                </c:pt>
                <c:pt idx="2">
                  <c:v>2022</c:v>
                </c:pt>
                <c:pt idx="3">
                  <c:v>2023</c:v>
                </c:pt>
                <c:pt idx="4">
                  <c:v>2024</c:v>
                </c:pt>
              </c:numCache>
            </c:numRef>
          </c:cat>
          <c:val>
            <c:numRef>
              <c:f>('Master Data'!$O$104,'Master Data'!$N$104,'Master Data'!$M$104,'Master Data'!$L$104,'Master Data'!$K$104)</c:f>
              <c:numCache>
                <c:formatCode>0.00%</c:formatCode>
                <c:ptCount val="5"/>
                <c:pt idx="0">
                  <c:v>3.9046868368398713E-2</c:v>
                </c:pt>
                <c:pt idx="1">
                  <c:v>3.6085717458085052E-2</c:v>
                </c:pt>
                <c:pt idx="2">
                  <c:v>4.0050959471295486E-2</c:v>
                </c:pt>
                <c:pt idx="3">
                  <c:v>6.1615430188927657E-2</c:v>
                </c:pt>
                <c:pt idx="4">
                  <c:v>8.7661163995662122E-2</c:v>
                </c:pt>
              </c:numCache>
            </c:numRef>
          </c:val>
          <c:extLst>
            <c:ext xmlns:c16="http://schemas.microsoft.com/office/drawing/2014/chart" uri="{C3380CC4-5D6E-409C-BE32-E72D297353CC}">
              <c16:uniqueId val="{00000002-8B13-7242-9E9F-78E1E4FB1278}"/>
            </c:ext>
          </c:extLst>
        </c:ser>
        <c:dLbls>
          <c:showLegendKey val="0"/>
          <c:showVal val="0"/>
          <c:showCatName val="0"/>
          <c:showSerName val="0"/>
          <c:showPercent val="0"/>
          <c:showBubbleSize val="0"/>
        </c:dLbls>
        <c:gapWidth val="219"/>
        <c:overlap val="-27"/>
        <c:axId val="1416864959"/>
        <c:axId val="1416865855"/>
      </c:barChart>
      <c:catAx>
        <c:axId val="141686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65855"/>
        <c:crosses val="autoZero"/>
        <c:auto val="1"/>
        <c:lblAlgn val="ctr"/>
        <c:lblOffset val="100"/>
        <c:noMultiLvlLbl val="0"/>
      </c:catAx>
      <c:valAx>
        <c:axId val="1416865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64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of Sales to</a:t>
            </a:r>
            <a:r>
              <a:rPr lang="en-GB" baseline="0"/>
              <a:t> Total 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'Master Data'!$B$30:$B$31</c:f>
              <c:strCache>
                <c:ptCount val="2"/>
                <c:pt idx="0">
                  <c:v>Cost of Sales to Total Sales</c:v>
                </c:pt>
                <c:pt idx="1">
                  <c:v>2024</c:v>
                </c:pt>
              </c:strCache>
            </c:strRef>
          </c:tx>
          <c:spPr>
            <a:solidFill>
              <a:schemeClr val="accent1"/>
            </a:solidFill>
            <a:ln>
              <a:noFill/>
            </a:ln>
            <a:effectLst/>
          </c:spPr>
          <c:invertIfNegative val="0"/>
          <c:cat>
            <c:strRef>
              <c:f>'Master Data'!$A$32:$A$37</c:f>
              <c:strCache>
                <c:ptCount val="6"/>
                <c:pt idx="0">
                  <c:v>NVIDIA</c:v>
                </c:pt>
                <c:pt idx="1">
                  <c:v>AMD</c:v>
                </c:pt>
                <c:pt idx="2">
                  <c:v>Qualcomm</c:v>
                </c:pt>
                <c:pt idx="3">
                  <c:v>ARM</c:v>
                </c:pt>
                <c:pt idx="4">
                  <c:v>TSMC</c:v>
                </c:pt>
                <c:pt idx="5">
                  <c:v>Intel</c:v>
                </c:pt>
              </c:strCache>
            </c:strRef>
          </c:cat>
          <c:val>
            <c:numRef>
              <c:f>'Master Data'!$B$32:$B$37</c:f>
              <c:numCache>
                <c:formatCode>0.00%</c:formatCode>
                <c:ptCount val="6"/>
                <c:pt idx="0">
                  <c:v>0.27282426709563046</c:v>
                </c:pt>
                <c:pt idx="1">
                  <c:v>0.50649602482063216</c:v>
                </c:pt>
                <c:pt idx="2">
                  <c:v>0.43786253272419279</c:v>
                </c:pt>
                <c:pt idx="3">
                  <c:v>-3.0197154978787121E-2</c:v>
                </c:pt>
                <c:pt idx="4">
                  <c:v>0.4387934906540441</c:v>
                </c:pt>
                <c:pt idx="5">
                  <c:v>0.65680495659215454</c:v>
                </c:pt>
              </c:numCache>
            </c:numRef>
          </c:val>
          <c:extLst>
            <c:ext xmlns:c16="http://schemas.microsoft.com/office/drawing/2014/chart" uri="{C3380CC4-5D6E-409C-BE32-E72D297353CC}">
              <c16:uniqueId val="{00000000-E786-7841-8602-DC4BFB101F7C}"/>
            </c:ext>
          </c:extLst>
        </c:ser>
        <c:ser>
          <c:idx val="1"/>
          <c:order val="1"/>
          <c:tx>
            <c:strRef>
              <c:f>'Master Data'!$C$30:$C$31</c:f>
              <c:strCache>
                <c:ptCount val="2"/>
                <c:pt idx="0">
                  <c:v>Cost of Sales to Total Sales</c:v>
                </c:pt>
                <c:pt idx="1">
                  <c:v>2023</c:v>
                </c:pt>
              </c:strCache>
            </c:strRef>
          </c:tx>
          <c:spPr>
            <a:solidFill>
              <a:schemeClr val="accent2"/>
            </a:solidFill>
            <a:ln>
              <a:noFill/>
            </a:ln>
            <a:effectLst/>
          </c:spPr>
          <c:invertIfNegative val="0"/>
          <c:cat>
            <c:strRef>
              <c:f>'Master Data'!$A$32:$A$37</c:f>
              <c:strCache>
                <c:ptCount val="6"/>
                <c:pt idx="0">
                  <c:v>NVIDIA</c:v>
                </c:pt>
                <c:pt idx="1">
                  <c:v>AMD</c:v>
                </c:pt>
                <c:pt idx="2">
                  <c:v>Qualcomm</c:v>
                </c:pt>
                <c:pt idx="3">
                  <c:v>ARM</c:v>
                </c:pt>
                <c:pt idx="4">
                  <c:v>TSMC</c:v>
                </c:pt>
                <c:pt idx="5">
                  <c:v>Intel</c:v>
                </c:pt>
              </c:strCache>
            </c:strRef>
          </c:cat>
          <c:val>
            <c:numRef>
              <c:f>'Master Data'!$C$32:$C$37</c:f>
              <c:numCache>
                <c:formatCode>0.00%</c:formatCode>
                <c:ptCount val="6"/>
                <c:pt idx="0">
                  <c:v>0.43071105509008673</c:v>
                </c:pt>
                <c:pt idx="1">
                  <c:v>0.53880070546737213</c:v>
                </c:pt>
                <c:pt idx="2">
                  <c:v>0.44302065884980457</c:v>
                </c:pt>
                <c:pt idx="3">
                  <c:v>-4.7633776678008041E-2</c:v>
                </c:pt>
                <c:pt idx="4">
                  <c:v>0.45640005551186574</c:v>
                </c:pt>
                <c:pt idx="5">
                  <c:v>0.57686066238843403</c:v>
                </c:pt>
              </c:numCache>
            </c:numRef>
          </c:val>
          <c:extLst>
            <c:ext xmlns:c16="http://schemas.microsoft.com/office/drawing/2014/chart" uri="{C3380CC4-5D6E-409C-BE32-E72D297353CC}">
              <c16:uniqueId val="{00000001-E786-7841-8602-DC4BFB101F7C}"/>
            </c:ext>
          </c:extLst>
        </c:ser>
        <c:ser>
          <c:idx val="2"/>
          <c:order val="2"/>
          <c:tx>
            <c:strRef>
              <c:f>'Master Data'!$D$30:$D$31</c:f>
              <c:strCache>
                <c:ptCount val="2"/>
                <c:pt idx="0">
                  <c:v>Cost of Sales to Total Sales</c:v>
                </c:pt>
                <c:pt idx="1">
                  <c:v>2022</c:v>
                </c:pt>
              </c:strCache>
            </c:strRef>
          </c:tx>
          <c:spPr>
            <a:solidFill>
              <a:schemeClr val="accent3"/>
            </a:solidFill>
            <a:ln>
              <a:noFill/>
            </a:ln>
            <a:effectLst/>
          </c:spPr>
          <c:invertIfNegative val="0"/>
          <c:cat>
            <c:strRef>
              <c:f>'Master Data'!$A$32:$A$37</c:f>
              <c:strCache>
                <c:ptCount val="6"/>
                <c:pt idx="0">
                  <c:v>NVIDIA</c:v>
                </c:pt>
                <c:pt idx="1">
                  <c:v>AMD</c:v>
                </c:pt>
                <c:pt idx="2">
                  <c:v>Qualcomm</c:v>
                </c:pt>
                <c:pt idx="3">
                  <c:v>ARM</c:v>
                </c:pt>
                <c:pt idx="4">
                  <c:v>TSMC</c:v>
                </c:pt>
                <c:pt idx="5">
                  <c:v>Intel</c:v>
                </c:pt>
              </c:strCache>
            </c:strRef>
          </c:cat>
          <c:val>
            <c:numRef>
              <c:f>'Master Data'!$D$32:$D$37</c:f>
              <c:numCache>
                <c:formatCode>0.00%</c:formatCode>
                <c:ptCount val="6"/>
                <c:pt idx="0">
                  <c:v>0.35070966783086871</c:v>
                </c:pt>
                <c:pt idx="1">
                  <c:v>0.5507393754501928</c:v>
                </c:pt>
                <c:pt idx="2">
                  <c:v>0.42160633484162896</c:v>
                </c:pt>
                <c:pt idx="3">
                  <c:v>-3.9567002612915264E-2</c:v>
                </c:pt>
                <c:pt idx="4">
                  <c:v>0.40439065329740714</c:v>
                </c:pt>
                <c:pt idx="5">
                  <c:v>0.54886287943667333</c:v>
                </c:pt>
              </c:numCache>
            </c:numRef>
          </c:val>
          <c:extLst>
            <c:ext xmlns:c16="http://schemas.microsoft.com/office/drawing/2014/chart" uri="{C3380CC4-5D6E-409C-BE32-E72D297353CC}">
              <c16:uniqueId val="{00000002-E786-7841-8602-DC4BFB101F7C}"/>
            </c:ext>
          </c:extLst>
        </c:ser>
        <c:ser>
          <c:idx val="3"/>
          <c:order val="3"/>
          <c:tx>
            <c:strRef>
              <c:f>'Master Data'!$E$30:$E$31</c:f>
              <c:strCache>
                <c:ptCount val="2"/>
                <c:pt idx="0">
                  <c:v>Cost of Sales to Total Sales</c:v>
                </c:pt>
                <c:pt idx="1">
                  <c:v>2021</c:v>
                </c:pt>
              </c:strCache>
            </c:strRef>
          </c:tx>
          <c:spPr>
            <a:solidFill>
              <a:schemeClr val="accent4"/>
            </a:solidFill>
            <a:ln>
              <a:noFill/>
            </a:ln>
            <a:effectLst/>
          </c:spPr>
          <c:invertIfNegative val="0"/>
          <c:cat>
            <c:strRef>
              <c:f>'Master Data'!$A$32:$A$37</c:f>
              <c:strCache>
                <c:ptCount val="6"/>
                <c:pt idx="0">
                  <c:v>NVIDIA</c:v>
                </c:pt>
                <c:pt idx="1">
                  <c:v>AMD</c:v>
                </c:pt>
                <c:pt idx="2">
                  <c:v>Qualcomm</c:v>
                </c:pt>
                <c:pt idx="3">
                  <c:v>ARM</c:v>
                </c:pt>
                <c:pt idx="4">
                  <c:v>TSMC</c:v>
                </c:pt>
                <c:pt idx="5">
                  <c:v>Intel</c:v>
                </c:pt>
              </c:strCache>
            </c:strRef>
          </c:cat>
          <c:val>
            <c:numRef>
              <c:f>'Master Data'!$E$32:$E$37</c:f>
              <c:numCache>
                <c:formatCode>0.00%</c:formatCode>
                <c:ptCount val="6"/>
                <c:pt idx="0">
                  <c:v>0.37655172413793103</c:v>
                </c:pt>
                <c:pt idx="1">
                  <c:v>0.51752464403066811</c:v>
                </c:pt>
                <c:pt idx="2">
                  <c:v>0.42489423821724365</c:v>
                </c:pt>
                <c:pt idx="3">
                  <c:v>-4.8464668886422493E-2</c:v>
                </c:pt>
                <c:pt idx="4">
                  <c:v>0.48374700768552348</c:v>
                </c:pt>
                <c:pt idx="5">
                  <c:v>0.4455481878922859</c:v>
                </c:pt>
              </c:numCache>
            </c:numRef>
          </c:val>
          <c:extLst>
            <c:ext xmlns:c16="http://schemas.microsoft.com/office/drawing/2014/chart" uri="{C3380CC4-5D6E-409C-BE32-E72D297353CC}">
              <c16:uniqueId val="{00000003-E786-7841-8602-DC4BFB101F7C}"/>
            </c:ext>
          </c:extLst>
        </c:ser>
        <c:ser>
          <c:idx val="4"/>
          <c:order val="4"/>
          <c:tx>
            <c:strRef>
              <c:f>'Master Data'!$F$30:$F$31</c:f>
              <c:strCache>
                <c:ptCount val="2"/>
                <c:pt idx="0">
                  <c:v>Cost of Sales to Total Sales</c:v>
                </c:pt>
                <c:pt idx="1">
                  <c:v>2020</c:v>
                </c:pt>
              </c:strCache>
            </c:strRef>
          </c:tx>
          <c:spPr>
            <a:solidFill>
              <a:schemeClr val="accent5"/>
            </a:solidFill>
            <a:ln>
              <a:noFill/>
            </a:ln>
            <a:effectLst/>
          </c:spPr>
          <c:invertIfNegative val="0"/>
          <c:cat>
            <c:strRef>
              <c:f>'Master Data'!$A$32:$A$37</c:f>
              <c:strCache>
                <c:ptCount val="6"/>
                <c:pt idx="0">
                  <c:v>NVIDIA</c:v>
                </c:pt>
                <c:pt idx="1">
                  <c:v>AMD</c:v>
                </c:pt>
                <c:pt idx="2">
                  <c:v>Qualcomm</c:v>
                </c:pt>
                <c:pt idx="3">
                  <c:v>ARM</c:v>
                </c:pt>
                <c:pt idx="4">
                  <c:v>TSMC</c:v>
                </c:pt>
                <c:pt idx="5">
                  <c:v>Intel</c:v>
                </c:pt>
              </c:strCache>
            </c:strRef>
          </c:cat>
          <c:val>
            <c:numRef>
              <c:f>'Master Data'!$F$32:$F$37</c:f>
              <c:numCache>
                <c:formatCode>0.00%</c:formatCode>
                <c:ptCount val="6"/>
                <c:pt idx="0">
                  <c:v>0.38010624656530501</c:v>
                </c:pt>
                <c:pt idx="1">
                  <c:v>0.55474751613233642</c:v>
                </c:pt>
                <c:pt idx="2">
                  <c:v>0.393310951510773</c:v>
                </c:pt>
                <c:pt idx="3">
                  <c:v>-7.1534287123828325E-2</c:v>
                </c:pt>
                <c:pt idx="4">
                  <c:v>0.46897633091913687</c:v>
                </c:pt>
                <c:pt idx="5">
                  <c:v>0.43991678117816274</c:v>
                </c:pt>
              </c:numCache>
            </c:numRef>
          </c:val>
          <c:extLst>
            <c:ext xmlns:c16="http://schemas.microsoft.com/office/drawing/2014/chart" uri="{C3380CC4-5D6E-409C-BE32-E72D297353CC}">
              <c16:uniqueId val="{00000004-E786-7841-8602-DC4BFB101F7C}"/>
            </c:ext>
          </c:extLst>
        </c:ser>
        <c:dLbls>
          <c:showLegendKey val="0"/>
          <c:showVal val="0"/>
          <c:showCatName val="0"/>
          <c:showSerName val="0"/>
          <c:showPercent val="0"/>
          <c:showBubbleSize val="0"/>
        </c:dLbls>
        <c:gapWidth val="219"/>
        <c:overlap val="-27"/>
        <c:axId val="1584842943"/>
        <c:axId val="1584841599"/>
      </c:barChart>
      <c:lineChart>
        <c:grouping val="standard"/>
        <c:varyColors val="0"/>
        <c:ser>
          <c:idx val="5"/>
          <c:order val="5"/>
          <c:tx>
            <c:strRef>
              <c:f>'Master Data'!$G$30:$G$31</c:f>
              <c:strCache>
                <c:ptCount val="2"/>
                <c:pt idx="0">
                  <c:v>Cost of Sales to Total Sales</c:v>
                </c:pt>
                <c:pt idx="1">
                  <c:v>AVG</c:v>
                </c:pt>
              </c:strCache>
            </c:strRef>
          </c:tx>
          <c:spPr>
            <a:ln w="28575" cap="rnd">
              <a:solidFill>
                <a:schemeClr val="accent6"/>
              </a:solidFill>
              <a:round/>
            </a:ln>
            <a:effectLst/>
          </c:spPr>
          <c:marker>
            <c:symbol val="none"/>
          </c:marker>
          <c:cat>
            <c:strRef>
              <c:f>'Master Data'!$A$32:$A$37</c:f>
              <c:strCache>
                <c:ptCount val="6"/>
                <c:pt idx="0">
                  <c:v>NVIDIA</c:v>
                </c:pt>
                <c:pt idx="1">
                  <c:v>AMD</c:v>
                </c:pt>
                <c:pt idx="2">
                  <c:v>Qualcomm</c:v>
                </c:pt>
                <c:pt idx="3">
                  <c:v>ARM</c:v>
                </c:pt>
                <c:pt idx="4">
                  <c:v>TSMC</c:v>
                </c:pt>
                <c:pt idx="5">
                  <c:v>Intel</c:v>
                </c:pt>
              </c:strCache>
            </c:strRef>
          </c:cat>
          <c:val>
            <c:numRef>
              <c:f>'Master Data'!$G$32:$G$37</c:f>
              <c:numCache>
                <c:formatCode>0.00%</c:formatCode>
                <c:ptCount val="6"/>
                <c:pt idx="0">
                  <c:v>0.36218059214396436</c:v>
                </c:pt>
                <c:pt idx="1">
                  <c:v>0.53366165318024028</c:v>
                </c:pt>
                <c:pt idx="2">
                  <c:v>0.42413894322872858</c:v>
                </c:pt>
                <c:pt idx="3">
                  <c:v>-4.7479378055992248E-2</c:v>
                </c:pt>
                <c:pt idx="4">
                  <c:v>0.45046150761359549</c:v>
                </c:pt>
                <c:pt idx="5">
                  <c:v>0.53359869349754208</c:v>
                </c:pt>
              </c:numCache>
            </c:numRef>
          </c:val>
          <c:smooth val="0"/>
          <c:extLst>
            <c:ext xmlns:c16="http://schemas.microsoft.com/office/drawing/2014/chart" uri="{C3380CC4-5D6E-409C-BE32-E72D297353CC}">
              <c16:uniqueId val="{00000005-E786-7841-8602-DC4BFB101F7C}"/>
            </c:ext>
          </c:extLst>
        </c:ser>
        <c:dLbls>
          <c:showLegendKey val="0"/>
          <c:showVal val="0"/>
          <c:showCatName val="0"/>
          <c:showSerName val="0"/>
          <c:showPercent val="0"/>
          <c:showBubbleSize val="0"/>
        </c:dLbls>
        <c:marker val="1"/>
        <c:smooth val="0"/>
        <c:axId val="1584842943"/>
        <c:axId val="1584841599"/>
      </c:lineChart>
      <c:catAx>
        <c:axId val="158484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841599"/>
        <c:crosses val="autoZero"/>
        <c:auto val="1"/>
        <c:lblAlgn val="ctr"/>
        <c:lblOffset val="100"/>
        <c:noMultiLvlLbl val="0"/>
      </c:catAx>
      <c:valAx>
        <c:axId val="1584841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842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'Master Data'!$F$93:$F$94</c:f>
              <c:strCache>
                <c:ptCount val="2"/>
                <c:pt idx="0">
                  <c:v>YoY Gross Profit Margin Growth (%)</c:v>
                </c:pt>
                <c:pt idx="1">
                  <c:v>AVG</c:v>
                </c:pt>
              </c:strCache>
            </c:strRef>
          </c:tx>
          <c:spPr>
            <a:solidFill>
              <a:schemeClr val="accent5"/>
            </a:solidFill>
            <a:ln>
              <a:noFill/>
            </a:ln>
            <a:effectLst/>
          </c:spPr>
          <c:invertIfNegative val="0"/>
          <c:cat>
            <c:strRef>
              <c:f>'Master Data'!$A$95:$A$100</c:f>
              <c:strCache>
                <c:ptCount val="6"/>
                <c:pt idx="0">
                  <c:v>NVIDIA</c:v>
                </c:pt>
                <c:pt idx="1">
                  <c:v>AMD</c:v>
                </c:pt>
                <c:pt idx="2">
                  <c:v>Qualcomm</c:v>
                </c:pt>
                <c:pt idx="3">
                  <c:v>ARM</c:v>
                </c:pt>
                <c:pt idx="4">
                  <c:v>TSMC</c:v>
                </c:pt>
                <c:pt idx="5">
                  <c:v>Intel</c:v>
                </c:pt>
              </c:strCache>
            </c:strRef>
          </c:cat>
          <c:val>
            <c:numRef>
              <c:f>'Master Data'!$F$95:$F$100</c:f>
              <c:numCache>
                <c:formatCode>0.00%</c:formatCode>
                <c:ptCount val="6"/>
                <c:pt idx="0">
                  <c:v>5.0327760008722633E-2</c:v>
                </c:pt>
                <c:pt idx="1">
                  <c:v>2.7844030423542998E-2</c:v>
                </c:pt>
                <c:pt idx="2">
                  <c:v>-1.8526073752218319E-2</c:v>
                </c:pt>
                <c:pt idx="3">
                  <c:v>1.3719277422832521E-2</c:v>
                </c:pt>
                <c:pt idx="4">
                  <c:v>1.7776187745437405E-2</c:v>
                </c:pt>
                <c:pt idx="5">
                  <c:v>-0.11184576938991939</c:v>
                </c:pt>
              </c:numCache>
            </c:numRef>
          </c:val>
          <c:extLst>
            <c:ext xmlns:c16="http://schemas.microsoft.com/office/drawing/2014/chart" uri="{C3380CC4-5D6E-409C-BE32-E72D297353CC}">
              <c16:uniqueId val="{00000004-6B48-7542-A539-782DDE4997F8}"/>
            </c:ext>
          </c:extLst>
        </c:ser>
        <c:dLbls>
          <c:showLegendKey val="0"/>
          <c:showVal val="0"/>
          <c:showCatName val="0"/>
          <c:showSerName val="0"/>
          <c:showPercent val="0"/>
          <c:showBubbleSize val="0"/>
        </c:dLbls>
        <c:gapWidth val="219"/>
        <c:axId val="1585216831"/>
        <c:axId val="1415973055"/>
      </c:barChart>
      <c:catAx>
        <c:axId val="158521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973055"/>
        <c:crosses val="autoZero"/>
        <c:auto val="1"/>
        <c:lblAlgn val="ctr"/>
        <c:lblOffset val="100"/>
        <c:noMultiLvlLbl val="0"/>
      </c:catAx>
      <c:valAx>
        <c:axId val="141597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1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YoY Operating Profit Margin Growth (%)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strRef>
              <c:f>'Master Data'!$F$75:$F$76</c:f>
              <c:strCache>
                <c:ptCount val="2"/>
                <c:pt idx="0">
                  <c:v>YoY Operating Profit Margin Growth (%)</c:v>
                </c:pt>
                <c:pt idx="1">
                  <c:v>AVG</c:v>
                </c:pt>
              </c:strCache>
            </c:strRef>
          </c:tx>
          <c:spPr>
            <a:ln w="28575" cap="rnd">
              <a:solidFill>
                <a:schemeClr val="accent5"/>
              </a:solidFill>
              <a:round/>
            </a:ln>
            <a:effectLst/>
          </c:spPr>
          <c:marker>
            <c:symbol val="none"/>
          </c:marker>
          <c:cat>
            <c:strRef>
              <c:f>'Master Data'!$A$77:$A$82</c:f>
              <c:strCache>
                <c:ptCount val="6"/>
                <c:pt idx="0">
                  <c:v>NVIDIA</c:v>
                </c:pt>
                <c:pt idx="1">
                  <c:v>AMD</c:v>
                </c:pt>
                <c:pt idx="2">
                  <c:v>Qualcomm</c:v>
                </c:pt>
                <c:pt idx="3">
                  <c:v>ARM</c:v>
                </c:pt>
                <c:pt idx="4">
                  <c:v>TSMC</c:v>
                </c:pt>
                <c:pt idx="5">
                  <c:v>Intel</c:v>
                </c:pt>
              </c:strCache>
            </c:strRef>
          </c:cat>
          <c:val>
            <c:numRef>
              <c:f>'Master Data'!$F$77:$F$82</c:f>
              <c:numCache>
                <c:formatCode>0.00%</c:formatCode>
                <c:ptCount val="6"/>
                <c:pt idx="0">
                  <c:v>0.57280532609961399</c:v>
                </c:pt>
                <c:pt idx="1">
                  <c:v>1.5805076023943085</c:v>
                </c:pt>
                <c:pt idx="2">
                  <c:v>4.8086224466479893E-2</c:v>
                </c:pt>
                <c:pt idx="3">
                  <c:v>1.30828615309091</c:v>
                </c:pt>
                <c:pt idx="4">
                  <c:v>2.734500201866441E-2</c:v>
                </c:pt>
                <c:pt idx="5">
                  <c:v>-1.3947988404788969</c:v>
                </c:pt>
              </c:numCache>
            </c:numRef>
          </c:val>
          <c:smooth val="0"/>
          <c:extLst>
            <c:ext xmlns:c16="http://schemas.microsoft.com/office/drawing/2014/chart" uri="{C3380CC4-5D6E-409C-BE32-E72D297353CC}">
              <c16:uniqueId val="{00000004-196F-A948-8FDF-5FCF6D644F84}"/>
            </c:ext>
          </c:extLst>
        </c:ser>
        <c:dLbls>
          <c:showLegendKey val="0"/>
          <c:showVal val="0"/>
          <c:showCatName val="0"/>
          <c:showSerName val="0"/>
          <c:showPercent val="0"/>
          <c:showBubbleSize val="0"/>
        </c:dLbls>
        <c:smooth val="0"/>
        <c:axId val="1584959423"/>
        <c:axId val="1584967039"/>
      </c:lineChart>
      <c:catAx>
        <c:axId val="158495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967039"/>
        <c:crosses val="autoZero"/>
        <c:auto val="1"/>
        <c:lblAlgn val="ctr"/>
        <c:lblOffset val="100"/>
        <c:noMultiLvlLbl val="0"/>
      </c:catAx>
      <c:valAx>
        <c:axId val="1584967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95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YoY OpEx</a:t>
            </a:r>
            <a:r>
              <a:rPr lang="en-GB" b="1" baseline="0"/>
              <a:t> Growth (%)</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'Master Data'!$B$48:$B$49</c:f>
              <c:strCache>
                <c:ptCount val="2"/>
                <c:pt idx="0">
                  <c:v>OpEx YoY Growth (%)</c:v>
                </c:pt>
                <c:pt idx="1">
                  <c:v>2024/23</c:v>
                </c:pt>
              </c:strCache>
            </c:strRef>
          </c:tx>
          <c:spPr>
            <a:solidFill>
              <a:schemeClr val="accent1"/>
            </a:solidFill>
            <a:ln>
              <a:noFill/>
            </a:ln>
            <a:effectLst/>
          </c:spPr>
          <c:invertIfNegative val="0"/>
          <c:cat>
            <c:strRef>
              <c:f>'Master Data'!$A$50:$A$55</c:f>
              <c:strCache>
                <c:ptCount val="6"/>
                <c:pt idx="0">
                  <c:v>NVIDIA</c:v>
                </c:pt>
                <c:pt idx="1">
                  <c:v>AMD</c:v>
                </c:pt>
                <c:pt idx="2">
                  <c:v>Qualcomm</c:v>
                </c:pt>
                <c:pt idx="3">
                  <c:v>ARM</c:v>
                </c:pt>
                <c:pt idx="4">
                  <c:v>TSMC</c:v>
                </c:pt>
                <c:pt idx="5">
                  <c:v>Intel</c:v>
                </c:pt>
              </c:strCache>
            </c:strRef>
          </c:cat>
          <c:val>
            <c:numRef>
              <c:f>'Master Data'!$B$50:$B$55</c:f>
              <c:numCache>
                <c:formatCode>0.00%</c:formatCode>
                <c:ptCount val="6"/>
                <c:pt idx="0">
                  <c:v>1.7696730147322981E-2</c:v>
                </c:pt>
                <c:pt idx="1">
                  <c:v>1.0279130760584487</c:v>
                </c:pt>
                <c:pt idx="2">
                  <c:v>1.8916857360793182E-2</c:v>
                </c:pt>
                <c:pt idx="3">
                  <c:v>2.9312668463611802E-2</c:v>
                </c:pt>
                <c:pt idx="4">
                  <c:v>0.11473962930273629</c:v>
                </c:pt>
                <c:pt idx="5">
                  <c:v>1.720479704797051E-2</c:v>
                </c:pt>
              </c:numCache>
            </c:numRef>
          </c:val>
          <c:extLst>
            <c:ext xmlns:c16="http://schemas.microsoft.com/office/drawing/2014/chart" uri="{C3380CC4-5D6E-409C-BE32-E72D297353CC}">
              <c16:uniqueId val="{00000000-9987-E641-A852-C2AB74212B87}"/>
            </c:ext>
          </c:extLst>
        </c:ser>
        <c:ser>
          <c:idx val="1"/>
          <c:order val="1"/>
          <c:tx>
            <c:strRef>
              <c:f>'Master Data'!$C$48:$C$49</c:f>
              <c:strCache>
                <c:ptCount val="2"/>
                <c:pt idx="0">
                  <c:v>OpEx YoY Growth (%)</c:v>
                </c:pt>
                <c:pt idx="1">
                  <c:v>2023/22</c:v>
                </c:pt>
              </c:strCache>
            </c:strRef>
          </c:tx>
          <c:spPr>
            <a:solidFill>
              <a:schemeClr val="accent2"/>
            </a:solidFill>
            <a:ln>
              <a:noFill/>
            </a:ln>
            <a:effectLst/>
          </c:spPr>
          <c:invertIfNegative val="0"/>
          <c:cat>
            <c:strRef>
              <c:f>'Master Data'!$A$50:$A$55</c:f>
              <c:strCache>
                <c:ptCount val="6"/>
                <c:pt idx="0">
                  <c:v>NVIDIA</c:v>
                </c:pt>
                <c:pt idx="1">
                  <c:v>AMD</c:v>
                </c:pt>
                <c:pt idx="2">
                  <c:v>Qualcomm</c:v>
                </c:pt>
                <c:pt idx="3">
                  <c:v>ARM</c:v>
                </c:pt>
                <c:pt idx="4">
                  <c:v>TSMC</c:v>
                </c:pt>
                <c:pt idx="5">
                  <c:v>Intel</c:v>
                </c:pt>
              </c:strCache>
            </c:strRef>
          </c:cat>
          <c:val>
            <c:numRef>
              <c:f>'Master Data'!$C$50:$C$55</c:f>
              <c:numCache>
                <c:formatCode>0.00%</c:formatCode>
                <c:ptCount val="6"/>
                <c:pt idx="0">
                  <c:v>0.49744417541027719</c:v>
                </c:pt>
                <c:pt idx="1">
                  <c:v>-0.42841846022058039</c:v>
                </c:pt>
                <c:pt idx="2">
                  <c:v>4.662302410985153E-2</c:v>
                </c:pt>
                <c:pt idx="3">
                  <c:v>0.56046267087276558</c:v>
                </c:pt>
                <c:pt idx="4">
                  <c:v>0.10536585365853646</c:v>
                </c:pt>
                <c:pt idx="5">
                  <c:v>-0.11618426416632699</c:v>
                </c:pt>
              </c:numCache>
            </c:numRef>
          </c:val>
          <c:extLst>
            <c:ext xmlns:c16="http://schemas.microsoft.com/office/drawing/2014/chart" uri="{C3380CC4-5D6E-409C-BE32-E72D297353CC}">
              <c16:uniqueId val="{00000001-9987-E641-A852-C2AB74212B87}"/>
            </c:ext>
          </c:extLst>
        </c:ser>
        <c:ser>
          <c:idx val="2"/>
          <c:order val="2"/>
          <c:tx>
            <c:strRef>
              <c:f>'Master Data'!$D$48:$D$49</c:f>
              <c:strCache>
                <c:ptCount val="2"/>
                <c:pt idx="0">
                  <c:v>OpEx YoY Growth (%)</c:v>
                </c:pt>
                <c:pt idx="1">
                  <c:v>2022/21</c:v>
                </c:pt>
              </c:strCache>
            </c:strRef>
          </c:tx>
          <c:spPr>
            <a:solidFill>
              <a:schemeClr val="accent3"/>
            </a:solidFill>
            <a:ln>
              <a:noFill/>
            </a:ln>
            <a:effectLst/>
          </c:spPr>
          <c:invertIfNegative val="0"/>
          <c:cat>
            <c:strRef>
              <c:f>'Master Data'!$A$50:$A$55</c:f>
              <c:strCache>
                <c:ptCount val="6"/>
                <c:pt idx="0">
                  <c:v>NVIDIA</c:v>
                </c:pt>
                <c:pt idx="1">
                  <c:v>AMD</c:v>
                </c:pt>
                <c:pt idx="2">
                  <c:v>Qualcomm</c:v>
                </c:pt>
                <c:pt idx="3">
                  <c:v>ARM</c:v>
                </c:pt>
                <c:pt idx="4">
                  <c:v>TSMC</c:v>
                </c:pt>
                <c:pt idx="5">
                  <c:v>Intel</c:v>
                </c:pt>
              </c:strCache>
            </c:strRef>
          </c:cat>
          <c:val>
            <c:numRef>
              <c:f>'Master Data'!$D$50:$D$55</c:f>
              <c:numCache>
                <c:formatCode>0.00%</c:formatCode>
                <c:ptCount val="6"/>
                <c:pt idx="0">
                  <c:v>0.26773533424283769</c:v>
                </c:pt>
                <c:pt idx="1">
                  <c:v>1.181499649614576</c:v>
                </c:pt>
                <c:pt idx="2">
                  <c:v>0.12877354239884653</c:v>
                </c:pt>
                <c:pt idx="3">
                  <c:v>-1.9082001031459517E-2</c:v>
                </c:pt>
                <c:pt idx="4">
                  <c:v>0.3804713804713804</c:v>
                </c:pt>
                <c:pt idx="5">
                  <c:v>0.12869829291860313</c:v>
                </c:pt>
              </c:numCache>
            </c:numRef>
          </c:val>
          <c:extLst>
            <c:ext xmlns:c16="http://schemas.microsoft.com/office/drawing/2014/chart" uri="{C3380CC4-5D6E-409C-BE32-E72D297353CC}">
              <c16:uniqueId val="{00000002-9987-E641-A852-C2AB74212B87}"/>
            </c:ext>
          </c:extLst>
        </c:ser>
        <c:ser>
          <c:idx val="3"/>
          <c:order val="3"/>
          <c:tx>
            <c:strRef>
              <c:f>'Master Data'!$E$48:$E$49</c:f>
              <c:strCache>
                <c:ptCount val="2"/>
                <c:pt idx="0">
                  <c:v>OpEx YoY Growth (%)</c:v>
                </c:pt>
                <c:pt idx="1">
                  <c:v>2021/20</c:v>
                </c:pt>
              </c:strCache>
            </c:strRef>
          </c:tx>
          <c:spPr>
            <a:solidFill>
              <a:schemeClr val="accent4"/>
            </a:solidFill>
            <a:ln>
              <a:noFill/>
            </a:ln>
            <a:effectLst/>
          </c:spPr>
          <c:invertIfNegative val="0"/>
          <c:cat>
            <c:strRef>
              <c:f>'Master Data'!$A$50:$A$55</c:f>
              <c:strCache>
                <c:ptCount val="6"/>
                <c:pt idx="0">
                  <c:v>NVIDIA</c:v>
                </c:pt>
                <c:pt idx="1">
                  <c:v>AMD</c:v>
                </c:pt>
                <c:pt idx="2">
                  <c:v>Qualcomm</c:v>
                </c:pt>
                <c:pt idx="3">
                  <c:v>ARM</c:v>
                </c:pt>
                <c:pt idx="4">
                  <c:v>TSMC</c:v>
                </c:pt>
                <c:pt idx="5">
                  <c:v>Intel</c:v>
                </c:pt>
              </c:strCache>
            </c:strRef>
          </c:cat>
          <c:val>
            <c:numRef>
              <c:f>'Master Data'!$E$50:$E$55</c:f>
              <c:numCache>
                <c:formatCode>0.00%</c:formatCode>
                <c:ptCount val="6"/>
                <c:pt idx="0">
                  <c:v>0.49515553289138192</c:v>
                </c:pt>
                <c:pt idx="1">
                  <c:v>0.43754197447951637</c:v>
                </c:pt>
                <c:pt idx="2">
                  <c:v>0.17528066087693284</c:v>
                </c:pt>
                <c:pt idx="3">
                  <c:v>0.18015824710894712</c:v>
                </c:pt>
                <c:pt idx="4">
                  <c:v>0.18515562649640871</c:v>
                </c:pt>
                <c:pt idx="5">
                  <c:v>0.10118565058775841</c:v>
                </c:pt>
              </c:numCache>
            </c:numRef>
          </c:val>
          <c:extLst>
            <c:ext xmlns:c16="http://schemas.microsoft.com/office/drawing/2014/chart" uri="{C3380CC4-5D6E-409C-BE32-E72D297353CC}">
              <c16:uniqueId val="{00000003-9987-E641-A852-C2AB74212B87}"/>
            </c:ext>
          </c:extLst>
        </c:ser>
        <c:dLbls>
          <c:showLegendKey val="0"/>
          <c:showVal val="0"/>
          <c:showCatName val="0"/>
          <c:showSerName val="0"/>
          <c:showPercent val="0"/>
          <c:showBubbleSize val="0"/>
        </c:dLbls>
        <c:gapWidth val="219"/>
        <c:overlap val="-27"/>
        <c:axId val="1508148544"/>
        <c:axId val="1508159744"/>
      </c:barChart>
      <c:lineChart>
        <c:grouping val="standard"/>
        <c:varyColors val="0"/>
        <c:ser>
          <c:idx val="4"/>
          <c:order val="4"/>
          <c:tx>
            <c:strRef>
              <c:f>'Master Data'!$F$48:$F$49</c:f>
              <c:strCache>
                <c:ptCount val="2"/>
                <c:pt idx="0">
                  <c:v>OpEx YoY Growth (%)</c:v>
                </c:pt>
                <c:pt idx="1">
                  <c:v>AVG</c:v>
                </c:pt>
              </c:strCache>
            </c:strRef>
          </c:tx>
          <c:spPr>
            <a:ln w="28575" cap="rnd">
              <a:solidFill>
                <a:schemeClr val="accent5"/>
              </a:solidFill>
              <a:round/>
            </a:ln>
            <a:effectLst/>
          </c:spPr>
          <c:marker>
            <c:symbol val="none"/>
          </c:marker>
          <c:cat>
            <c:strRef>
              <c:f>'Master Data'!$A$50:$A$55</c:f>
              <c:strCache>
                <c:ptCount val="6"/>
                <c:pt idx="0">
                  <c:v>NVIDIA</c:v>
                </c:pt>
                <c:pt idx="1">
                  <c:v>AMD</c:v>
                </c:pt>
                <c:pt idx="2">
                  <c:v>Qualcomm</c:v>
                </c:pt>
                <c:pt idx="3">
                  <c:v>ARM</c:v>
                </c:pt>
                <c:pt idx="4">
                  <c:v>TSMC</c:v>
                </c:pt>
                <c:pt idx="5">
                  <c:v>Intel</c:v>
                </c:pt>
              </c:strCache>
            </c:strRef>
          </c:cat>
          <c:val>
            <c:numRef>
              <c:f>'Master Data'!$F$50:$F$55</c:f>
              <c:numCache>
                <c:formatCode>0.00%</c:formatCode>
                <c:ptCount val="6"/>
                <c:pt idx="0">
                  <c:v>0.31950794317295494</c:v>
                </c:pt>
                <c:pt idx="1">
                  <c:v>0.5546340599829902</c:v>
                </c:pt>
                <c:pt idx="2">
                  <c:v>9.239852118660602E-2</c:v>
                </c:pt>
                <c:pt idx="3">
                  <c:v>0.18771289635346625</c:v>
                </c:pt>
                <c:pt idx="4">
                  <c:v>0.19643312248226547</c:v>
                </c:pt>
                <c:pt idx="5">
                  <c:v>3.2726119097001266E-2</c:v>
                </c:pt>
              </c:numCache>
            </c:numRef>
          </c:val>
          <c:smooth val="0"/>
          <c:extLst>
            <c:ext xmlns:c16="http://schemas.microsoft.com/office/drawing/2014/chart" uri="{C3380CC4-5D6E-409C-BE32-E72D297353CC}">
              <c16:uniqueId val="{00000004-9987-E641-A852-C2AB74212B87}"/>
            </c:ext>
          </c:extLst>
        </c:ser>
        <c:dLbls>
          <c:showLegendKey val="0"/>
          <c:showVal val="0"/>
          <c:showCatName val="0"/>
          <c:showSerName val="0"/>
          <c:showPercent val="0"/>
          <c:showBubbleSize val="0"/>
        </c:dLbls>
        <c:marker val="1"/>
        <c:smooth val="0"/>
        <c:axId val="1508148544"/>
        <c:axId val="1508159744"/>
      </c:lineChart>
      <c:catAx>
        <c:axId val="15081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59744"/>
        <c:crosses val="autoZero"/>
        <c:auto val="1"/>
        <c:lblAlgn val="ctr"/>
        <c:lblOffset val="100"/>
        <c:noMultiLvlLbl val="0"/>
      </c:catAx>
      <c:valAx>
        <c:axId val="1508159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4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Free Cash Flow to Total Sales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'Master Data'!$G$138:$G$139</c:f>
              <c:strCache>
                <c:ptCount val="2"/>
                <c:pt idx="0">
                  <c:v>Free Cash Flow to Total Sales</c:v>
                </c:pt>
                <c:pt idx="1">
                  <c:v>AVG</c:v>
                </c:pt>
              </c:strCache>
            </c:strRef>
          </c:tx>
          <c:spPr>
            <a:solidFill>
              <a:schemeClr val="accent1"/>
            </a:solidFill>
            <a:ln>
              <a:noFill/>
            </a:ln>
            <a:effectLst/>
          </c:spPr>
          <c:invertIfNegative val="0"/>
          <c:cat>
            <c:strRef>
              <c:f>'Master Data'!$A$140:$A$145</c:f>
              <c:strCache>
                <c:ptCount val="6"/>
                <c:pt idx="0">
                  <c:v>NVIDIA</c:v>
                </c:pt>
                <c:pt idx="1">
                  <c:v>AMD</c:v>
                </c:pt>
                <c:pt idx="2">
                  <c:v>Qualcomm</c:v>
                </c:pt>
                <c:pt idx="3">
                  <c:v>ARM</c:v>
                </c:pt>
                <c:pt idx="4">
                  <c:v>TSMC</c:v>
                </c:pt>
                <c:pt idx="5">
                  <c:v>Intel</c:v>
                </c:pt>
              </c:strCache>
            </c:strRef>
          </c:cat>
          <c:val>
            <c:numRef>
              <c:f>'Master Data'!$G$140:$G$145</c:f>
              <c:numCache>
                <c:formatCode>0.00%</c:formatCode>
                <c:ptCount val="6"/>
                <c:pt idx="0">
                  <c:v>-0.15219831497818501</c:v>
                </c:pt>
                <c:pt idx="1">
                  <c:v>0.10248844825786911</c:v>
                </c:pt>
                <c:pt idx="2">
                  <c:v>0.17374054470455494</c:v>
                </c:pt>
                <c:pt idx="3">
                  <c:v>0.17464250208077528</c:v>
                </c:pt>
                <c:pt idx="4">
                  <c:v>6.828882783706634E-3</c:v>
                </c:pt>
                <c:pt idx="5">
                  <c:v>1.4817211253669665E-2</c:v>
                </c:pt>
              </c:numCache>
            </c:numRef>
          </c:val>
          <c:extLst>
            <c:ext xmlns:c16="http://schemas.microsoft.com/office/drawing/2014/chart" uri="{C3380CC4-5D6E-409C-BE32-E72D297353CC}">
              <c16:uniqueId val="{00000000-91CF-E147-BBB9-7154413E81B2}"/>
            </c:ext>
          </c:extLst>
        </c:ser>
        <c:dLbls>
          <c:showLegendKey val="0"/>
          <c:showVal val="0"/>
          <c:showCatName val="0"/>
          <c:showSerName val="0"/>
          <c:showPercent val="0"/>
          <c:showBubbleSize val="0"/>
        </c:dLbls>
        <c:gapWidth val="219"/>
        <c:axId val="1583262207"/>
        <c:axId val="1356498239"/>
      </c:barChart>
      <c:catAx>
        <c:axId val="158326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498239"/>
        <c:crosses val="autoZero"/>
        <c:auto val="1"/>
        <c:lblAlgn val="ctr"/>
        <c:lblOffset val="100"/>
        <c:noMultiLvlLbl val="0"/>
      </c:catAx>
      <c:valAx>
        <c:axId val="1356498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262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NVIDIA!$A$11</c:f>
              <c:strCache>
                <c:ptCount val="1"/>
                <c:pt idx="0">
                  <c:v>Operating Margin (%)</c:v>
                </c:pt>
              </c:strCache>
            </c:strRef>
          </c:tx>
          <c:spPr>
            <a:ln w="28575" cap="rnd">
              <a:solidFill>
                <a:srgbClr val="637CEF"/>
              </a:solidFill>
              <a:round/>
            </a:ln>
            <a:effectLst/>
          </c:spPr>
          <c:marker>
            <c:symbol val="none"/>
          </c:marker>
          <c:cat>
            <c:numRef>
              <c:f>(NVIDIA!$F$5,NVIDIA!$E$5,NVIDIA!$D$5,NVIDIA!$C$5,NVIDIA!$B$5)</c:f>
              <c:numCache>
                <c:formatCode>General</c:formatCode>
                <c:ptCount val="5"/>
                <c:pt idx="0">
                  <c:v>2020</c:v>
                </c:pt>
                <c:pt idx="1">
                  <c:v>2021</c:v>
                </c:pt>
                <c:pt idx="2">
                  <c:v>2022</c:v>
                </c:pt>
                <c:pt idx="3">
                  <c:v>2023</c:v>
                </c:pt>
                <c:pt idx="4">
                  <c:v>2024</c:v>
                </c:pt>
              </c:numCache>
            </c:numRef>
          </c:cat>
          <c:val>
            <c:numRef>
              <c:f>(NVIDIA!$F$11,NVIDIA!$E$11,NVIDIA!$D$11,NVIDIA!$C$11,NVIDIA!$B$11)</c:f>
              <c:numCache>
                <c:formatCode>0.00%</c:formatCode>
                <c:ptCount val="5"/>
                <c:pt idx="0">
                  <c:v>0.2606704524638212</c:v>
                </c:pt>
                <c:pt idx="1">
                  <c:v>0.27178410794602698</c:v>
                </c:pt>
                <c:pt idx="2">
                  <c:v>0.37307720888756779</c:v>
                </c:pt>
                <c:pt idx="3">
                  <c:v>0.1565952398606065</c:v>
                </c:pt>
                <c:pt idx="4">
                  <c:v>0.54121663766783756</c:v>
                </c:pt>
              </c:numCache>
            </c:numRef>
          </c:val>
          <c:smooth val="0"/>
          <c:extLst>
            <c:ext xmlns:c16="http://schemas.microsoft.com/office/drawing/2014/chart" uri="{C3380CC4-5D6E-409C-BE32-E72D297353CC}">
              <c16:uniqueId val="{0000000D-F1F6-4184-8C41-A2137E10D185}"/>
            </c:ext>
          </c:extLst>
        </c:ser>
        <c:dLbls>
          <c:showLegendKey val="0"/>
          <c:showVal val="0"/>
          <c:showCatName val="0"/>
          <c:showSerName val="0"/>
          <c:showPercent val="0"/>
          <c:showBubbleSize val="0"/>
        </c:dLbls>
        <c:smooth val="0"/>
        <c:axId val="1522418696"/>
        <c:axId val="1522420744"/>
      </c:lineChart>
      <c:catAx>
        <c:axId val="152241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20744"/>
        <c:crosses val="autoZero"/>
        <c:auto val="1"/>
        <c:lblAlgn val="ctr"/>
        <c:lblOffset val="100"/>
        <c:noMultiLvlLbl val="0"/>
      </c:catAx>
      <c:valAx>
        <c:axId val="1522420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18696"/>
        <c:crosses val="autoZero"/>
        <c:crossBetween val="between"/>
      </c:valAx>
      <c:spPr>
        <a:noFill/>
        <a:ln>
          <a:noFill/>
        </a:ln>
        <a:effectLst/>
      </c:spPr>
    </c:plotArea>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NVIDIA!$A$9</c:f>
              <c:strCache>
                <c:ptCount val="1"/>
                <c:pt idx="0">
                  <c:v>Total Operating Expenses</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numRef>
              <c:f>(NVIDIA!$F$5,NVIDIA!$E$5,NVIDIA!$D$5,NVIDIA!$C$5,NVIDIA!$B$5)</c:f>
              <c:numCache>
                <c:formatCode>General</c:formatCode>
                <c:ptCount val="5"/>
                <c:pt idx="0">
                  <c:v>2020</c:v>
                </c:pt>
                <c:pt idx="1">
                  <c:v>2021</c:v>
                </c:pt>
                <c:pt idx="2">
                  <c:v>2022</c:v>
                </c:pt>
                <c:pt idx="3">
                  <c:v>2023</c:v>
                </c:pt>
                <c:pt idx="4">
                  <c:v>2024</c:v>
                </c:pt>
              </c:numCache>
            </c:numRef>
          </c:cat>
          <c:val>
            <c:numRef>
              <c:f>(NVIDIA!$F$9,NVIDIA!$E$9,NVIDIA!$D$9,NVIDIA!$C$9,NVIDIA!$B$9)</c:f>
              <c:numCache>
                <c:formatCode>_(* #,##0_);_(* \(#,##0\);_(* "-"??_);_(@_)</c:formatCode>
                <c:ptCount val="5"/>
                <c:pt idx="0">
                  <c:v>3922</c:v>
                </c:pt>
                <c:pt idx="1">
                  <c:v>5864</c:v>
                </c:pt>
                <c:pt idx="2">
                  <c:v>7434</c:v>
                </c:pt>
                <c:pt idx="3">
                  <c:v>11132</c:v>
                </c:pt>
                <c:pt idx="4">
                  <c:v>11329</c:v>
                </c:pt>
              </c:numCache>
            </c:numRef>
          </c:val>
          <c:smooth val="0"/>
          <c:extLst>
            <c:ext xmlns:c16="http://schemas.microsoft.com/office/drawing/2014/chart" uri="{C3380CC4-5D6E-409C-BE32-E72D297353CC}">
              <c16:uniqueId val="{00000000-3DC0-40E8-A6A0-2D8B70360A32}"/>
            </c:ext>
          </c:extLst>
        </c:ser>
        <c:dLbls>
          <c:showLegendKey val="0"/>
          <c:showVal val="0"/>
          <c:showCatName val="0"/>
          <c:showSerName val="0"/>
          <c:showPercent val="0"/>
          <c:showBubbleSize val="0"/>
        </c:dLbls>
        <c:marker val="1"/>
        <c:smooth val="0"/>
        <c:axId val="1520300040"/>
        <c:axId val="1520302600"/>
      </c:lineChart>
      <c:catAx>
        <c:axId val="1520300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02600"/>
        <c:crosses val="autoZero"/>
        <c:auto val="1"/>
        <c:lblAlgn val="ctr"/>
        <c:lblOffset val="100"/>
        <c:noMultiLvlLbl val="0"/>
      </c:catAx>
      <c:valAx>
        <c:axId val="15203026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00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REVENUE &amp; COST OF REVENUE</a:t>
            </a:r>
          </a:p>
        </c:rich>
      </c:tx>
      <c:layout>
        <c:manualLayout>
          <c:xMode val="edge"/>
          <c:yMode val="edge"/>
          <c:x val="0.22102775234646269"/>
          <c:y val="2.708333333333332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NVIDIA!$A$6</c:f>
              <c:strCache>
                <c:ptCount val="1"/>
                <c:pt idx="0">
                  <c:v>Total Revenue</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numRef>
              <c:f>(NVIDIA!$F$5,NVIDIA!$E$5,NVIDIA!$D$5,NVIDIA!$C$5,NVIDIA!$B$5)</c:f>
              <c:numCache>
                <c:formatCode>General</c:formatCode>
                <c:ptCount val="5"/>
                <c:pt idx="0">
                  <c:v>2020</c:v>
                </c:pt>
                <c:pt idx="1">
                  <c:v>2021</c:v>
                </c:pt>
                <c:pt idx="2">
                  <c:v>2022</c:v>
                </c:pt>
                <c:pt idx="3">
                  <c:v>2023</c:v>
                </c:pt>
                <c:pt idx="4">
                  <c:v>2024</c:v>
                </c:pt>
              </c:numCache>
            </c:numRef>
          </c:cat>
          <c:val>
            <c:numRef>
              <c:f>(NVIDIA!$F$6,NVIDIA!$E$6,NVIDIA!$D$6,NVIDIA!$C$6,NVIDIA!$B$6)</c:f>
              <c:numCache>
                <c:formatCode>_(* #,##0_);_(* \(#,##0\);_(* "-"??_);_(@_)</c:formatCode>
                <c:ptCount val="5"/>
                <c:pt idx="0">
                  <c:v>10918</c:v>
                </c:pt>
                <c:pt idx="1">
                  <c:v>16675</c:v>
                </c:pt>
                <c:pt idx="2">
                  <c:v>26914</c:v>
                </c:pt>
                <c:pt idx="3">
                  <c:v>26974</c:v>
                </c:pt>
                <c:pt idx="4">
                  <c:v>60922</c:v>
                </c:pt>
              </c:numCache>
            </c:numRef>
          </c:val>
          <c:smooth val="0"/>
          <c:extLst>
            <c:ext xmlns:c16="http://schemas.microsoft.com/office/drawing/2014/chart" uri="{C3380CC4-5D6E-409C-BE32-E72D297353CC}">
              <c16:uniqueId val="{00000000-AE8C-44DA-811F-40896F54F869}"/>
            </c:ext>
          </c:extLst>
        </c:ser>
        <c:ser>
          <c:idx val="1"/>
          <c:order val="1"/>
          <c:tx>
            <c:strRef>
              <c:f>NVIDIA!$A$7</c:f>
              <c:strCache>
                <c:ptCount val="1"/>
                <c:pt idx="0">
                  <c:v>Cost of Revenue</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numRef>
              <c:f>(NVIDIA!$F$5,NVIDIA!$E$5,NVIDIA!$D$5,NVIDIA!$C$5,NVIDIA!$B$5)</c:f>
              <c:numCache>
                <c:formatCode>General</c:formatCode>
                <c:ptCount val="5"/>
                <c:pt idx="0">
                  <c:v>2020</c:v>
                </c:pt>
                <c:pt idx="1">
                  <c:v>2021</c:v>
                </c:pt>
                <c:pt idx="2">
                  <c:v>2022</c:v>
                </c:pt>
                <c:pt idx="3">
                  <c:v>2023</c:v>
                </c:pt>
                <c:pt idx="4">
                  <c:v>2024</c:v>
                </c:pt>
              </c:numCache>
            </c:numRef>
          </c:cat>
          <c:val>
            <c:numRef>
              <c:f>(NVIDIA!$F$7,NVIDIA!$E$7,NVIDIA!$D$7,NVIDIA!$C$7,NVIDIA!$B$7)</c:f>
              <c:numCache>
                <c:formatCode>_(* #,##0_);_(* \(#,##0\);_(* "-"??_);_(@_)</c:formatCode>
                <c:ptCount val="5"/>
                <c:pt idx="0">
                  <c:v>4150</c:v>
                </c:pt>
                <c:pt idx="1">
                  <c:v>6279</c:v>
                </c:pt>
                <c:pt idx="2">
                  <c:v>9439</c:v>
                </c:pt>
                <c:pt idx="3">
                  <c:v>11618</c:v>
                </c:pt>
                <c:pt idx="4">
                  <c:v>16621</c:v>
                </c:pt>
              </c:numCache>
            </c:numRef>
          </c:val>
          <c:smooth val="0"/>
          <c:extLst>
            <c:ext xmlns:c16="http://schemas.microsoft.com/office/drawing/2014/chart" uri="{C3380CC4-5D6E-409C-BE32-E72D297353CC}">
              <c16:uniqueId val="{00000002-AE8C-44DA-811F-40896F54F869}"/>
            </c:ext>
          </c:extLst>
        </c:ser>
        <c:dLbls>
          <c:showLegendKey val="0"/>
          <c:showVal val="0"/>
          <c:showCatName val="0"/>
          <c:showSerName val="0"/>
          <c:showPercent val="0"/>
          <c:showBubbleSize val="0"/>
        </c:dLbls>
        <c:marker val="1"/>
        <c:smooth val="0"/>
        <c:axId val="802738695"/>
        <c:axId val="802740743"/>
      </c:lineChart>
      <c:catAx>
        <c:axId val="802738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40743"/>
        <c:crosses val="autoZero"/>
        <c:auto val="1"/>
        <c:lblAlgn val="ctr"/>
        <c:lblOffset val="100"/>
        <c:noMultiLvlLbl val="0"/>
      </c:catAx>
      <c:valAx>
        <c:axId val="802740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in 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38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kumimoji="0" lang="en-US" sz="1600" b="1"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YEAR-OVER-YEAR FINACIAL GROWTH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NVIDIA!$A$68</c:f>
              <c:strCache>
                <c:ptCount val="1"/>
                <c:pt idx="0">
                  <c:v>Total Revenue</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(NVIDIA!$F$67,NVIDIA!$E$67,NVIDIA!$D$67,NVIDIA!$C$67,NVIDIA!$B$67)</c:f>
              <c:strCache>
                <c:ptCount val="5"/>
                <c:pt idx="0">
                  <c:v>2020/19</c:v>
                </c:pt>
                <c:pt idx="1">
                  <c:v>2021/20</c:v>
                </c:pt>
                <c:pt idx="2">
                  <c:v>2022/21</c:v>
                </c:pt>
                <c:pt idx="3">
                  <c:v>2023/22</c:v>
                </c:pt>
                <c:pt idx="4">
                  <c:v>2024/23</c:v>
                </c:pt>
              </c:strCache>
            </c:strRef>
          </c:cat>
          <c:val>
            <c:numRef>
              <c:f>(NVIDIA!$F$68,NVIDIA!$E$68,NVIDIA!$D$68,NVIDIA!$C$68,NVIDIA!$B$68)</c:f>
              <c:numCache>
                <c:formatCode>0.00%</c:formatCode>
                <c:ptCount val="5"/>
                <c:pt idx="0">
                  <c:v>-6.8000000000000005E-2</c:v>
                </c:pt>
                <c:pt idx="1">
                  <c:v>0.52729437625938824</c:v>
                </c:pt>
                <c:pt idx="2">
                  <c:v>0.61403298350824587</c:v>
                </c:pt>
                <c:pt idx="3">
                  <c:v>2.2293230289069932E-3</c:v>
                </c:pt>
                <c:pt idx="4">
                  <c:v>1.2585452658115224</c:v>
                </c:pt>
              </c:numCache>
            </c:numRef>
          </c:val>
          <c:smooth val="0"/>
          <c:extLst>
            <c:ext xmlns:c16="http://schemas.microsoft.com/office/drawing/2014/chart" uri="{C3380CC4-5D6E-409C-BE32-E72D297353CC}">
              <c16:uniqueId val="{00000000-C97E-4592-BCFC-B66E2FB13D05}"/>
            </c:ext>
          </c:extLst>
        </c:ser>
        <c:ser>
          <c:idx val="1"/>
          <c:order val="1"/>
          <c:tx>
            <c:strRef>
              <c:f>NVIDIA!$A$70</c:f>
              <c:strCache>
                <c:ptCount val="1"/>
                <c:pt idx="0">
                  <c:v>Gross Profit</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(NVIDIA!$F$67,NVIDIA!$E$67,NVIDIA!$D$67,NVIDIA!$C$67,NVIDIA!$B$67)</c:f>
              <c:strCache>
                <c:ptCount val="5"/>
                <c:pt idx="0">
                  <c:v>2020/19</c:v>
                </c:pt>
                <c:pt idx="1">
                  <c:v>2021/20</c:v>
                </c:pt>
                <c:pt idx="2">
                  <c:v>2022/21</c:v>
                </c:pt>
                <c:pt idx="3">
                  <c:v>2023/22</c:v>
                </c:pt>
                <c:pt idx="4">
                  <c:v>2024/23</c:v>
                </c:pt>
              </c:strCache>
            </c:strRef>
          </c:cat>
          <c:val>
            <c:numRef>
              <c:f>(NVIDIA!$F$70,NVIDIA!$E$70,NVIDIA!$D$70,NVIDIA!$C$70,NVIDIA!$B$70)</c:f>
              <c:numCache>
                <c:formatCode>0.00%</c:formatCode>
                <c:ptCount val="5"/>
                <c:pt idx="0">
                  <c:v>-5.6000000000000001E-2</c:v>
                </c:pt>
                <c:pt idx="1">
                  <c:v>0.53605200945626486</c:v>
                </c:pt>
                <c:pt idx="2">
                  <c:v>0.68093497499038103</c:v>
                </c:pt>
                <c:pt idx="3">
                  <c:v>-0.12125894134477821</c:v>
                </c:pt>
                <c:pt idx="4">
                  <c:v>1.8849309716071896</c:v>
                </c:pt>
              </c:numCache>
            </c:numRef>
          </c:val>
          <c:smooth val="0"/>
          <c:extLst>
            <c:ext xmlns:c16="http://schemas.microsoft.com/office/drawing/2014/chart" uri="{C3380CC4-5D6E-409C-BE32-E72D297353CC}">
              <c16:uniqueId val="{00000001-C97E-4592-BCFC-B66E2FB13D05}"/>
            </c:ext>
          </c:extLst>
        </c:ser>
        <c:ser>
          <c:idx val="2"/>
          <c:order val="2"/>
          <c:tx>
            <c:strRef>
              <c:f>NVIDIA!$A$71</c:f>
              <c:strCache>
                <c:ptCount val="1"/>
                <c:pt idx="0">
                  <c:v>Operating Income (EBIT)</c:v>
                </c:pt>
              </c:strCache>
            </c:strRef>
          </c:tx>
          <c:spPr>
            <a:ln w="28575" cap="rnd">
              <a:solidFill>
                <a:srgbClr val="2AA0A4"/>
              </a:solidFill>
              <a:round/>
            </a:ln>
            <a:effectLst/>
          </c:spPr>
          <c:marker>
            <c:symbol val="circle"/>
            <c:size val="5"/>
            <c:spPr>
              <a:solidFill>
                <a:srgbClr val="2AA0A4"/>
              </a:solidFill>
              <a:ln w="9525">
                <a:solidFill>
                  <a:srgbClr val="2AA0A4"/>
                </a:solidFill>
              </a:ln>
              <a:effectLst/>
            </c:spPr>
          </c:marker>
          <c:cat>
            <c:strRef>
              <c:f>(NVIDIA!$F$67,NVIDIA!$E$67,NVIDIA!$D$67,NVIDIA!$C$67,NVIDIA!$B$67)</c:f>
              <c:strCache>
                <c:ptCount val="5"/>
                <c:pt idx="0">
                  <c:v>2020/19</c:v>
                </c:pt>
                <c:pt idx="1">
                  <c:v>2021/20</c:v>
                </c:pt>
                <c:pt idx="2">
                  <c:v>2022/21</c:v>
                </c:pt>
                <c:pt idx="3">
                  <c:v>2023/22</c:v>
                </c:pt>
                <c:pt idx="4">
                  <c:v>2024/23</c:v>
                </c:pt>
              </c:strCache>
            </c:strRef>
          </c:cat>
          <c:val>
            <c:numRef>
              <c:f>(NVIDIA!$F$71,NVIDIA!$E$71,NVIDIA!$D$71,NVIDIA!$C$71,NVIDIA!$B$71)</c:f>
              <c:numCache>
                <c:formatCode>0.00%</c:formatCode>
                <c:ptCount val="5"/>
                <c:pt idx="0">
                  <c:v>-0.252</c:v>
                </c:pt>
                <c:pt idx="1">
                  <c:v>0.59241040056219263</c:v>
                </c:pt>
                <c:pt idx="2">
                  <c:v>1.215578111209179</c:v>
                </c:pt>
                <c:pt idx="3">
                  <c:v>-0.57932476844935765</c:v>
                </c:pt>
                <c:pt idx="4">
                  <c:v>6.8058712121212119</c:v>
                </c:pt>
              </c:numCache>
            </c:numRef>
          </c:val>
          <c:smooth val="0"/>
          <c:extLst>
            <c:ext xmlns:c16="http://schemas.microsoft.com/office/drawing/2014/chart" uri="{C3380CC4-5D6E-409C-BE32-E72D297353CC}">
              <c16:uniqueId val="{00000002-C97E-4592-BCFC-B66E2FB13D05}"/>
            </c:ext>
          </c:extLst>
        </c:ser>
        <c:ser>
          <c:idx val="3"/>
          <c:order val="3"/>
          <c:tx>
            <c:strRef>
              <c:f>NVIDIA!$A$72</c:f>
              <c:strCache>
                <c:ptCount val="1"/>
                <c:pt idx="0">
                  <c:v>Net Income</c:v>
                </c:pt>
              </c:strCache>
            </c:strRef>
          </c:tx>
          <c:spPr>
            <a:ln w="28575" cap="rnd">
              <a:solidFill>
                <a:srgbClr val="9373C0"/>
              </a:solidFill>
              <a:round/>
            </a:ln>
            <a:effectLst/>
          </c:spPr>
          <c:marker>
            <c:symbol val="circle"/>
            <c:size val="5"/>
            <c:spPr>
              <a:solidFill>
                <a:srgbClr val="9373C0"/>
              </a:solidFill>
              <a:ln w="9525">
                <a:solidFill>
                  <a:srgbClr val="9373C0"/>
                </a:solidFill>
              </a:ln>
              <a:effectLst/>
            </c:spPr>
          </c:marker>
          <c:cat>
            <c:strRef>
              <c:f>(NVIDIA!$F$67,NVIDIA!$E$67,NVIDIA!$D$67,NVIDIA!$C$67,NVIDIA!$B$67)</c:f>
              <c:strCache>
                <c:ptCount val="5"/>
                <c:pt idx="0">
                  <c:v>2020/19</c:v>
                </c:pt>
                <c:pt idx="1">
                  <c:v>2021/20</c:v>
                </c:pt>
                <c:pt idx="2">
                  <c:v>2022/21</c:v>
                </c:pt>
                <c:pt idx="3">
                  <c:v>2023/22</c:v>
                </c:pt>
                <c:pt idx="4">
                  <c:v>2024/23</c:v>
                </c:pt>
              </c:strCache>
            </c:strRef>
          </c:cat>
          <c:val>
            <c:numRef>
              <c:f>(NVIDIA!$F$72,NVIDIA!$E$72,NVIDIA!$D$72,NVIDIA!$C$72,NVIDIA!$B$72)</c:f>
              <c:numCache>
                <c:formatCode>0.00%</c:formatCode>
                <c:ptCount val="5"/>
                <c:pt idx="0">
                  <c:v>-0.32600000000000001</c:v>
                </c:pt>
                <c:pt idx="1">
                  <c:v>0.54935622317596566</c:v>
                </c:pt>
                <c:pt idx="2">
                  <c:v>1.2511542012927053</c:v>
                </c:pt>
                <c:pt idx="3">
                  <c:v>-0.55209187858900743</c:v>
                </c:pt>
                <c:pt idx="4">
                  <c:v>5.813186813186813</c:v>
                </c:pt>
              </c:numCache>
            </c:numRef>
          </c:val>
          <c:smooth val="0"/>
          <c:extLst>
            <c:ext xmlns:c16="http://schemas.microsoft.com/office/drawing/2014/chart" uri="{C3380CC4-5D6E-409C-BE32-E72D297353CC}">
              <c16:uniqueId val="{00000003-C97E-4592-BCFC-B66E2FB13D05}"/>
            </c:ext>
          </c:extLst>
        </c:ser>
        <c:dLbls>
          <c:showLegendKey val="0"/>
          <c:showVal val="0"/>
          <c:showCatName val="0"/>
          <c:showSerName val="0"/>
          <c:showPercent val="0"/>
          <c:showBubbleSize val="0"/>
        </c:dLbls>
        <c:marker val="1"/>
        <c:smooth val="0"/>
        <c:axId val="1590941192"/>
        <c:axId val="1590943240"/>
      </c:lineChart>
      <c:catAx>
        <c:axId val="1590941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43240"/>
        <c:crosses val="autoZero"/>
        <c:auto val="1"/>
        <c:lblAlgn val="ctr"/>
        <c:lblOffset val="100"/>
        <c:noMultiLvlLbl val="0"/>
      </c:catAx>
      <c:valAx>
        <c:axId val="1590943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41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CASH FLOW</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NVIDIA!$A$31</c:f>
              <c:strCache>
                <c:ptCount val="1"/>
                <c:pt idx="0">
                  <c:v>Cash from Operating Activities (CFO)</c:v>
                </c:pt>
              </c:strCache>
            </c:strRef>
          </c:tx>
          <c:spPr>
            <a:solidFill>
              <a:srgbClr val="637CEF"/>
            </a:solidFill>
            <a:ln>
              <a:noFill/>
            </a:ln>
            <a:effectLst/>
          </c:spPr>
          <c:invertIfNegative val="0"/>
          <c:cat>
            <c:numRef>
              <c:f>(NVIDIA!$F$29,NVIDIA!$E$29,NVIDIA!$D$29,NVIDIA!$C$29,NVIDIA!$B$29)</c:f>
              <c:numCache>
                <c:formatCode>General</c:formatCode>
                <c:ptCount val="5"/>
                <c:pt idx="0">
                  <c:v>2020</c:v>
                </c:pt>
                <c:pt idx="1">
                  <c:v>2021</c:v>
                </c:pt>
                <c:pt idx="2">
                  <c:v>2022</c:v>
                </c:pt>
                <c:pt idx="3">
                  <c:v>2023</c:v>
                </c:pt>
                <c:pt idx="4">
                  <c:v>2024</c:v>
                </c:pt>
              </c:numCache>
            </c:numRef>
          </c:cat>
          <c:val>
            <c:numRef>
              <c:f>(NVIDIA!$F$31,NVIDIA!$E$31,NVIDIA!$D$31,NVIDIA!$C$31,NVIDIA!$B$31)</c:f>
              <c:numCache>
                <c:formatCode>_(* #,##0_);_(* \(#,##0\);_(* "-"??_);_(@_)</c:formatCode>
                <c:ptCount val="5"/>
                <c:pt idx="0">
                  <c:v>4761</c:v>
                </c:pt>
                <c:pt idx="1">
                  <c:v>5822</c:v>
                </c:pt>
                <c:pt idx="2">
                  <c:v>9108</c:v>
                </c:pt>
                <c:pt idx="3">
                  <c:v>5641</c:v>
                </c:pt>
                <c:pt idx="4">
                  <c:v>28090</c:v>
                </c:pt>
              </c:numCache>
            </c:numRef>
          </c:val>
          <c:extLst>
            <c:ext xmlns:c16="http://schemas.microsoft.com/office/drawing/2014/chart" uri="{C3380CC4-5D6E-409C-BE32-E72D297353CC}">
              <c16:uniqueId val="{00000000-F8B4-4A12-93E1-7B472661A1CA}"/>
            </c:ext>
          </c:extLst>
        </c:ser>
        <c:ser>
          <c:idx val="1"/>
          <c:order val="1"/>
          <c:tx>
            <c:strRef>
              <c:f>NVIDIA!$A$32</c:f>
              <c:strCache>
                <c:ptCount val="1"/>
                <c:pt idx="0">
                  <c:v>Cash from Investing Activities</c:v>
                </c:pt>
              </c:strCache>
            </c:strRef>
          </c:tx>
          <c:spPr>
            <a:solidFill>
              <a:srgbClr val="E3008C"/>
            </a:solidFill>
            <a:ln>
              <a:noFill/>
            </a:ln>
            <a:effectLst/>
          </c:spPr>
          <c:invertIfNegative val="0"/>
          <c:cat>
            <c:numRef>
              <c:f>(NVIDIA!$F$29,NVIDIA!$E$29,NVIDIA!$D$29,NVIDIA!$C$29,NVIDIA!$B$29)</c:f>
              <c:numCache>
                <c:formatCode>General</c:formatCode>
                <c:ptCount val="5"/>
                <c:pt idx="0">
                  <c:v>2020</c:v>
                </c:pt>
                <c:pt idx="1">
                  <c:v>2021</c:v>
                </c:pt>
                <c:pt idx="2">
                  <c:v>2022</c:v>
                </c:pt>
                <c:pt idx="3">
                  <c:v>2023</c:v>
                </c:pt>
                <c:pt idx="4">
                  <c:v>2024</c:v>
                </c:pt>
              </c:numCache>
            </c:numRef>
          </c:cat>
          <c:val>
            <c:numRef>
              <c:f>(NVIDIA!$F$32,NVIDIA!$E$32,NVIDIA!$D$32,NVIDIA!$C$32,NVIDIA!$B$32)</c:f>
              <c:numCache>
                <c:formatCode>_(* #,##0_);_(* \(#,##0\);_(* "-"??_);_(@_)</c:formatCode>
                <c:ptCount val="5"/>
                <c:pt idx="0">
                  <c:v>6145</c:v>
                </c:pt>
                <c:pt idx="1">
                  <c:v>-19675</c:v>
                </c:pt>
                <c:pt idx="2">
                  <c:v>-9830</c:v>
                </c:pt>
                <c:pt idx="3">
                  <c:v>7375</c:v>
                </c:pt>
                <c:pt idx="4">
                  <c:v>-10566</c:v>
                </c:pt>
              </c:numCache>
            </c:numRef>
          </c:val>
          <c:extLst>
            <c:ext xmlns:c16="http://schemas.microsoft.com/office/drawing/2014/chart" uri="{C3380CC4-5D6E-409C-BE32-E72D297353CC}">
              <c16:uniqueId val="{00000002-F8B4-4A12-93E1-7B472661A1CA}"/>
            </c:ext>
          </c:extLst>
        </c:ser>
        <c:dLbls>
          <c:showLegendKey val="0"/>
          <c:showVal val="0"/>
          <c:showCatName val="0"/>
          <c:showSerName val="0"/>
          <c:showPercent val="0"/>
          <c:showBubbleSize val="0"/>
        </c:dLbls>
        <c:gapWidth val="150"/>
        <c:axId val="45069831"/>
        <c:axId val="45071879"/>
      </c:barChart>
      <c:catAx>
        <c:axId val="45069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071879"/>
        <c:crosses val="autoZero"/>
        <c:auto val="1"/>
        <c:lblAlgn val="ctr"/>
        <c:lblOffset val="100"/>
        <c:noMultiLvlLbl val="0"/>
      </c:catAx>
      <c:valAx>
        <c:axId val="450718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9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INVESTING ACTIVITES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NVIDIA!$A$38</c:f>
              <c:strCache>
                <c:ptCount val="1"/>
                <c:pt idx="0">
                  <c:v>Purchases of PP&amp;E &amp; Intangibles (Capex/CFInv)</c:v>
                </c:pt>
              </c:strCache>
            </c:strRef>
          </c:tx>
          <c:spPr>
            <a:solidFill>
              <a:srgbClr val="637CEF"/>
            </a:solidFill>
            <a:ln>
              <a:noFill/>
            </a:ln>
            <a:effectLst/>
          </c:spPr>
          <c:invertIfNegative val="0"/>
          <c:cat>
            <c:numRef>
              <c:f>(NVIDIA!$F$37,NVIDIA!$E$37,NVIDIA!$D$37,NVIDIA!$C$37,NVIDIA!$B$37)</c:f>
              <c:numCache>
                <c:formatCode>General</c:formatCode>
                <c:ptCount val="5"/>
                <c:pt idx="0">
                  <c:v>2020</c:v>
                </c:pt>
                <c:pt idx="1">
                  <c:v>2021</c:v>
                </c:pt>
                <c:pt idx="2">
                  <c:v>2022</c:v>
                </c:pt>
                <c:pt idx="3">
                  <c:v>2023</c:v>
                </c:pt>
                <c:pt idx="4">
                  <c:v>2024</c:v>
                </c:pt>
              </c:numCache>
            </c:numRef>
          </c:cat>
          <c:val>
            <c:numRef>
              <c:f>(NVIDIA!$F$38,NVIDIA!$E$38,NVIDIA!$D$38,NVIDIA!$C$38,NVIDIA!$B$38)</c:f>
              <c:numCache>
                <c:formatCode>_(* #,##0_);_(* \(#,##0\);_(* "-"??_);_(@_)</c:formatCode>
                <c:ptCount val="5"/>
                <c:pt idx="0">
                  <c:v>-489</c:v>
                </c:pt>
                <c:pt idx="1">
                  <c:v>-1128</c:v>
                </c:pt>
                <c:pt idx="2">
                  <c:v>-976</c:v>
                </c:pt>
                <c:pt idx="3">
                  <c:v>-1833</c:v>
                </c:pt>
                <c:pt idx="4">
                  <c:v>-1069</c:v>
                </c:pt>
              </c:numCache>
            </c:numRef>
          </c:val>
          <c:extLst>
            <c:ext xmlns:c16="http://schemas.microsoft.com/office/drawing/2014/chart" uri="{C3380CC4-5D6E-409C-BE32-E72D297353CC}">
              <c16:uniqueId val="{00000000-F2CC-4985-BDB6-B0178623638D}"/>
            </c:ext>
          </c:extLst>
        </c:ser>
        <c:ser>
          <c:idx val="1"/>
          <c:order val="1"/>
          <c:tx>
            <c:strRef>
              <c:f>NVIDIA!$A$39</c:f>
              <c:strCache>
                <c:ptCount val="1"/>
                <c:pt idx="0">
                  <c:v>Acquisitions, net of cash acquired</c:v>
                </c:pt>
              </c:strCache>
            </c:strRef>
          </c:tx>
          <c:spPr>
            <a:solidFill>
              <a:srgbClr val="E3008C"/>
            </a:solidFill>
            <a:ln>
              <a:noFill/>
            </a:ln>
            <a:effectLst/>
          </c:spPr>
          <c:invertIfNegative val="0"/>
          <c:cat>
            <c:numRef>
              <c:f>(NVIDIA!$F$37,NVIDIA!$E$37,NVIDIA!$D$37,NVIDIA!$C$37,NVIDIA!$B$37)</c:f>
              <c:numCache>
                <c:formatCode>General</c:formatCode>
                <c:ptCount val="5"/>
                <c:pt idx="0">
                  <c:v>2020</c:v>
                </c:pt>
                <c:pt idx="1">
                  <c:v>2021</c:v>
                </c:pt>
                <c:pt idx="2">
                  <c:v>2022</c:v>
                </c:pt>
                <c:pt idx="3">
                  <c:v>2023</c:v>
                </c:pt>
                <c:pt idx="4">
                  <c:v>2024</c:v>
                </c:pt>
              </c:numCache>
            </c:numRef>
          </c:cat>
          <c:val>
            <c:numRef>
              <c:f>(NVIDIA!$F$39,NVIDIA!$E$39,NVIDIA!$D$39,NVIDIA!$C$39,NVIDIA!$B$39)</c:f>
              <c:numCache>
                <c:formatCode>_(* #,##0_);_(* \(#,##0\);_(* "-"??_);_(@_)</c:formatCode>
                <c:ptCount val="5"/>
                <c:pt idx="0">
                  <c:v>-4</c:v>
                </c:pt>
                <c:pt idx="1">
                  <c:v>-8524</c:v>
                </c:pt>
                <c:pt idx="2">
                  <c:v>-263</c:v>
                </c:pt>
                <c:pt idx="3">
                  <c:v>-49</c:v>
                </c:pt>
                <c:pt idx="4">
                  <c:v>-83</c:v>
                </c:pt>
              </c:numCache>
            </c:numRef>
          </c:val>
          <c:extLst>
            <c:ext xmlns:c16="http://schemas.microsoft.com/office/drawing/2014/chart" uri="{C3380CC4-5D6E-409C-BE32-E72D297353CC}">
              <c16:uniqueId val="{00000002-F2CC-4985-BDB6-B0178623638D}"/>
            </c:ext>
          </c:extLst>
        </c:ser>
        <c:ser>
          <c:idx val="2"/>
          <c:order val="2"/>
          <c:tx>
            <c:v/>
          </c:tx>
          <c:spPr>
            <a:solidFill>
              <a:srgbClr val="2AA0A4"/>
            </a:solidFill>
            <a:ln w="28575">
              <a:solidFill>
                <a:srgbClr val="FFFFFF"/>
              </a:solidFill>
              <a:prstDash val="solid"/>
            </a:ln>
            <a:effectLst/>
          </c:spPr>
          <c:invertIfNegative val="0"/>
          <c:cat>
            <c:numRef>
              <c:f>(NVIDIA!$F$37,NVIDIA!$E$37,NVIDIA!$D$37,NVIDIA!$C$37,NVIDIA!$B$37)</c:f>
              <c:numCache>
                <c:formatCode>General</c:formatCode>
                <c:ptCount val="5"/>
                <c:pt idx="0">
                  <c:v>2020</c:v>
                </c:pt>
                <c:pt idx="1">
                  <c:v>2021</c:v>
                </c:pt>
                <c:pt idx="2">
                  <c:v>2022</c:v>
                </c:pt>
                <c:pt idx="3">
                  <c:v>2023</c:v>
                </c:pt>
                <c:pt idx="4">
                  <c:v>2024</c:v>
                </c:pt>
              </c:numCache>
            </c:numRef>
          </c:cat>
          <c:val>
            <c:numRef>
              <c:f>NVIDIA!$B$37</c:f>
              <c:numCache>
                <c:formatCode>General</c:formatCode>
                <c:ptCount val="1"/>
                <c:pt idx="0">
                  <c:v>2024</c:v>
                </c:pt>
              </c:numCache>
            </c:numRef>
          </c:val>
          <c:extLst>
            <c:ext xmlns:c16="http://schemas.microsoft.com/office/drawing/2014/chart" uri="{C3380CC4-5D6E-409C-BE32-E72D297353CC}">
              <c16:uniqueId val="{00000004-F2CC-4985-BDB6-B0178623638D}"/>
            </c:ext>
          </c:extLst>
        </c:ser>
        <c:dLbls>
          <c:showLegendKey val="0"/>
          <c:showVal val="0"/>
          <c:showCatName val="0"/>
          <c:showSerName val="0"/>
          <c:showPercent val="0"/>
          <c:showBubbleSize val="0"/>
        </c:dLbls>
        <c:gapWidth val="150"/>
        <c:axId val="1516247048"/>
        <c:axId val="1516274696"/>
      </c:barChart>
      <c:catAx>
        <c:axId val="151624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6274696"/>
        <c:crosses val="autoZero"/>
        <c:auto val="1"/>
        <c:lblAlgn val="ctr"/>
        <c:lblOffset val="100"/>
        <c:noMultiLvlLbl val="0"/>
      </c:catAx>
      <c:valAx>
        <c:axId val="15162746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47048"/>
        <c:crosses val="autoZero"/>
        <c:crossBetween val="between"/>
      </c:valAx>
      <c:spPr>
        <a:noFill/>
        <a:ln>
          <a:noFill/>
        </a:ln>
        <a:effectLst/>
      </c:spPr>
    </c:plotArea>
    <c:legend>
      <c:legendPos val="b"/>
      <c:layout>
        <c:manualLayout>
          <c:xMode val="edge"/>
          <c:yMode val="edge"/>
          <c:x val="0.26433202099737535"/>
          <c:y val="0.7537576224024628"/>
          <c:w val="0.73566797900262471"/>
          <c:h val="8.45870581966727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SEGMENT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NVIDIA!$A$52</c:f>
              <c:strCache>
                <c:ptCount val="1"/>
                <c:pt idx="0">
                  <c:v>Data Center</c:v>
                </c:pt>
              </c:strCache>
            </c:strRef>
          </c:tx>
          <c:spPr>
            <a:solidFill>
              <a:srgbClr val="637CEF"/>
            </a:solidFill>
            <a:ln>
              <a:noFill/>
            </a:ln>
            <a:effectLst/>
          </c:spPr>
          <c:invertIfNegative val="0"/>
          <c:cat>
            <c:numRef>
              <c:f>(NVIDIA!$F$51,NVIDIA!$E$51,NVIDIA!$D$51,NVIDIA!$C$51,NVIDIA!$B$51)</c:f>
              <c:numCache>
                <c:formatCode>General</c:formatCode>
                <c:ptCount val="5"/>
                <c:pt idx="0">
                  <c:v>2020</c:v>
                </c:pt>
                <c:pt idx="1">
                  <c:v>2021</c:v>
                </c:pt>
                <c:pt idx="2">
                  <c:v>2022</c:v>
                </c:pt>
                <c:pt idx="3">
                  <c:v>2023</c:v>
                </c:pt>
                <c:pt idx="4">
                  <c:v>2024</c:v>
                </c:pt>
              </c:numCache>
            </c:numRef>
          </c:cat>
          <c:val>
            <c:numRef>
              <c:f>(NVIDIA!$F$52,NVIDIA!$E$52,NVIDIA!$D$52,NVIDIA!$C$52,NVIDIA!$B$52)</c:f>
              <c:numCache>
                <c:formatCode>_(* #,##0_);_(* \(#,##0\);_(* "-"??_);_(@_)</c:formatCode>
                <c:ptCount val="5"/>
                <c:pt idx="0">
                  <c:v>2983</c:v>
                </c:pt>
                <c:pt idx="1">
                  <c:v>6696</c:v>
                </c:pt>
                <c:pt idx="2">
                  <c:v>10613</c:v>
                </c:pt>
                <c:pt idx="3">
                  <c:v>15005</c:v>
                </c:pt>
                <c:pt idx="4">
                  <c:v>47525</c:v>
                </c:pt>
              </c:numCache>
            </c:numRef>
          </c:val>
          <c:extLst>
            <c:ext xmlns:c16="http://schemas.microsoft.com/office/drawing/2014/chart" uri="{C3380CC4-5D6E-409C-BE32-E72D297353CC}">
              <c16:uniqueId val="{00000000-B185-41C3-BB33-8C4A1590E286}"/>
            </c:ext>
          </c:extLst>
        </c:ser>
        <c:ser>
          <c:idx val="1"/>
          <c:order val="1"/>
          <c:tx>
            <c:strRef>
              <c:f>NVIDIA!$A$53</c:f>
              <c:strCache>
                <c:ptCount val="1"/>
                <c:pt idx="0">
                  <c:v>Gaming</c:v>
                </c:pt>
              </c:strCache>
            </c:strRef>
          </c:tx>
          <c:spPr>
            <a:solidFill>
              <a:srgbClr val="E3008C"/>
            </a:solidFill>
            <a:ln>
              <a:noFill/>
            </a:ln>
            <a:effectLst/>
          </c:spPr>
          <c:invertIfNegative val="0"/>
          <c:cat>
            <c:numRef>
              <c:f>(NVIDIA!$F$51,NVIDIA!$E$51,NVIDIA!$D$51,NVIDIA!$C$51,NVIDIA!$B$51)</c:f>
              <c:numCache>
                <c:formatCode>General</c:formatCode>
                <c:ptCount val="5"/>
                <c:pt idx="0">
                  <c:v>2020</c:v>
                </c:pt>
                <c:pt idx="1">
                  <c:v>2021</c:v>
                </c:pt>
                <c:pt idx="2">
                  <c:v>2022</c:v>
                </c:pt>
                <c:pt idx="3">
                  <c:v>2023</c:v>
                </c:pt>
                <c:pt idx="4">
                  <c:v>2024</c:v>
                </c:pt>
              </c:numCache>
            </c:numRef>
          </c:cat>
          <c:val>
            <c:numRef>
              <c:f>(NVIDIA!$F$53,NVIDIA!$E$53,NVIDIA!$D$53,NVIDIA!$C$53,NVIDIA!$B$53)</c:f>
              <c:numCache>
                <c:formatCode>_(* #,##0_);_(* \(#,##0\);_(* "-"??_);_(@_)</c:formatCode>
                <c:ptCount val="5"/>
                <c:pt idx="0">
                  <c:v>5518</c:v>
                </c:pt>
                <c:pt idx="1">
                  <c:v>7759</c:v>
                </c:pt>
                <c:pt idx="2">
                  <c:v>12462</c:v>
                </c:pt>
                <c:pt idx="3">
                  <c:v>9067</c:v>
                </c:pt>
                <c:pt idx="4">
                  <c:v>10447</c:v>
                </c:pt>
              </c:numCache>
            </c:numRef>
          </c:val>
          <c:extLst>
            <c:ext xmlns:c16="http://schemas.microsoft.com/office/drawing/2014/chart" uri="{C3380CC4-5D6E-409C-BE32-E72D297353CC}">
              <c16:uniqueId val="{00000002-B185-41C3-BB33-8C4A1590E286}"/>
            </c:ext>
          </c:extLst>
        </c:ser>
        <c:ser>
          <c:idx val="2"/>
          <c:order val="2"/>
          <c:tx>
            <c:strRef>
              <c:f>NVIDIA!$A$54</c:f>
              <c:strCache>
                <c:ptCount val="1"/>
                <c:pt idx="0">
                  <c:v>Professional Visualization</c:v>
                </c:pt>
              </c:strCache>
            </c:strRef>
          </c:tx>
          <c:spPr>
            <a:solidFill>
              <a:srgbClr val="2AA0A4"/>
            </a:solidFill>
            <a:ln>
              <a:noFill/>
            </a:ln>
            <a:effectLst/>
          </c:spPr>
          <c:invertIfNegative val="0"/>
          <c:cat>
            <c:numRef>
              <c:f>(NVIDIA!$F$51,NVIDIA!$E$51,NVIDIA!$D$51,NVIDIA!$C$51,NVIDIA!$B$51)</c:f>
              <c:numCache>
                <c:formatCode>General</c:formatCode>
                <c:ptCount val="5"/>
                <c:pt idx="0">
                  <c:v>2020</c:v>
                </c:pt>
                <c:pt idx="1">
                  <c:v>2021</c:v>
                </c:pt>
                <c:pt idx="2">
                  <c:v>2022</c:v>
                </c:pt>
                <c:pt idx="3">
                  <c:v>2023</c:v>
                </c:pt>
                <c:pt idx="4">
                  <c:v>2024</c:v>
                </c:pt>
              </c:numCache>
            </c:numRef>
          </c:cat>
          <c:val>
            <c:numRef>
              <c:f>(NVIDIA!$F$54,NVIDIA!$E$54,NVIDIA!$D$54,NVIDIA!$C$54,NVIDIA!$B$54)</c:f>
              <c:numCache>
                <c:formatCode>_(* #,##0_);_(* \(#,##0\);_(* "-"??_);_(@_)</c:formatCode>
                <c:ptCount val="5"/>
                <c:pt idx="0">
                  <c:v>1212</c:v>
                </c:pt>
                <c:pt idx="1">
                  <c:v>1053</c:v>
                </c:pt>
                <c:pt idx="2">
                  <c:v>2111</c:v>
                </c:pt>
                <c:pt idx="3">
                  <c:v>1544</c:v>
                </c:pt>
                <c:pt idx="4">
                  <c:v>1553</c:v>
                </c:pt>
              </c:numCache>
            </c:numRef>
          </c:val>
          <c:extLst>
            <c:ext xmlns:c16="http://schemas.microsoft.com/office/drawing/2014/chart" uri="{C3380CC4-5D6E-409C-BE32-E72D297353CC}">
              <c16:uniqueId val="{00000004-B185-41C3-BB33-8C4A1590E286}"/>
            </c:ext>
          </c:extLst>
        </c:ser>
        <c:ser>
          <c:idx val="3"/>
          <c:order val="3"/>
          <c:tx>
            <c:strRef>
              <c:f>NVIDIA!$A$55</c:f>
              <c:strCache>
                <c:ptCount val="1"/>
                <c:pt idx="0">
                  <c:v>Automotive</c:v>
                </c:pt>
              </c:strCache>
            </c:strRef>
          </c:tx>
          <c:spPr>
            <a:solidFill>
              <a:srgbClr val="9373C0"/>
            </a:solidFill>
            <a:ln>
              <a:noFill/>
            </a:ln>
            <a:effectLst/>
          </c:spPr>
          <c:invertIfNegative val="0"/>
          <c:cat>
            <c:numRef>
              <c:f>(NVIDIA!$F$51,NVIDIA!$E$51,NVIDIA!$D$51,NVIDIA!$C$51,NVIDIA!$B$51)</c:f>
              <c:numCache>
                <c:formatCode>General</c:formatCode>
                <c:ptCount val="5"/>
                <c:pt idx="0">
                  <c:v>2020</c:v>
                </c:pt>
                <c:pt idx="1">
                  <c:v>2021</c:v>
                </c:pt>
                <c:pt idx="2">
                  <c:v>2022</c:v>
                </c:pt>
                <c:pt idx="3">
                  <c:v>2023</c:v>
                </c:pt>
                <c:pt idx="4">
                  <c:v>2024</c:v>
                </c:pt>
              </c:numCache>
            </c:numRef>
          </c:cat>
          <c:val>
            <c:numRef>
              <c:f>(NVIDIA!$F$55,NVIDIA!$E$55,NVIDIA!$D$55,NVIDIA!$C$55,NVIDIA!$B$55)</c:f>
              <c:numCache>
                <c:formatCode>_(* #,##0_);_(* \(#,##0\);_(* "-"??_);_(@_)</c:formatCode>
                <c:ptCount val="5"/>
                <c:pt idx="0">
                  <c:v>700</c:v>
                </c:pt>
                <c:pt idx="1">
                  <c:v>536</c:v>
                </c:pt>
                <c:pt idx="2">
                  <c:v>566</c:v>
                </c:pt>
                <c:pt idx="3">
                  <c:v>903</c:v>
                </c:pt>
                <c:pt idx="4">
                  <c:v>1091</c:v>
                </c:pt>
              </c:numCache>
            </c:numRef>
          </c:val>
          <c:extLst>
            <c:ext xmlns:c16="http://schemas.microsoft.com/office/drawing/2014/chart" uri="{C3380CC4-5D6E-409C-BE32-E72D297353CC}">
              <c16:uniqueId val="{00000006-B185-41C3-BB33-8C4A1590E286}"/>
            </c:ext>
          </c:extLst>
        </c:ser>
        <c:ser>
          <c:idx val="4"/>
          <c:order val="4"/>
          <c:tx>
            <c:strRef>
              <c:f>NVIDIA!$A$56</c:f>
              <c:strCache>
                <c:ptCount val="1"/>
                <c:pt idx="0">
                  <c:v>OEM &amp; Other</c:v>
                </c:pt>
              </c:strCache>
            </c:strRef>
          </c:tx>
          <c:spPr>
            <a:solidFill>
              <a:srgbClr val="13A10E"/>
            </a:solidFill>
            <a:ln>
              <a:noFill/>
            </a:ln>
            <a:effectLst/>
          </c:spPr>
          <c:invertIfNegative val="0"/>
          <c:cat>
            <c:numRef>
              <c:f>(NVIDIA!$F$51,NVIDIA!$E$51,NVIDIA!$D$51,NVIDIA!$C$51,NVIDIA!$B$51)</c:f>
              <c:numCache>
                <c:formatCode>General</c:formatCode>
                <c:ptCount val="5"/>
                <c:pt idx="0">
                  <c:v>2020</c:v>
                </c:pt>
                <c:pt idx="1">
                  <c:v>2021</c:v>
                </c:pt>
                <c:pt idx="2">
                  <c:v>2022</c:v>
                </c:pt>
                <c:pt idx="3">
                  <c:v>2023</c:v>
                </c:pt>
                <c:pt idx="4">
                  <c:v>2024</c:v>
                </c:pt>
              </c:numCache>
            </c:numRef>
          </c:cat>
          <c:val>
            <c:numRef>
              <c:f>(NVIDIA!$F$56,NVIDIA!$E$56,NVIDIA!$D$56,NVIDIA!$C$56,NVIDIA!$B$56)</c:f>
              <c:numCache>
                <c:formatCode>_(* #,##0_);_(* \(#,##0\);_(* "-"??_);_(@_)</c:formatCode>
                <c:ptCount val="5"/>
                <c:pt idx="0">
                  <c:v>505</c:v>
                </c:pt>
                <c:pt idx="1">
                  <c:v>631</c:v>
                </c:pt>
                <c:pt idx="2">
                  <c:v>1162</c:v>
                </c:pt>
                <c:pt idx="3">
                  <c:v>455</c:v>
                </c:pt>
                <c:pt idx="4">
                  <c:v>306</c:v>
                </c:pt>
              </c:numCache>
            </c:numRef>
          </c:val>
          <c:extLst>
            <c:ext xmlns:c16="http://schemas.microsoft.com/office/drawing/2014/chart" uri="{C3380CC4-5D6E-409C-BE32-E72D297353CC}">
              <c16:uniqueId val="{00000008-B185-41C3-BB33-8C4A1590E286}"/>
            </c:ext>
          </c:extLst>
        </c:ser>
        <c:dLbls>
          <c:showLegendKey val="0"/>
          <c:showVal val="0"/>
          <c:showCatName val="0"/>
          <c:showSerName val="0"/>
          <c:showPercent val="0"/>
          <c:showBubbleSize val="0"/>
        </c:dLbls>
        <c:gapWidth val="219"/>
        <c:overlap val="-27"/>
        <c:axId val="1545157128"/>
        <c:axId val="1545163272"/>
      </c:barChart>
      <c:catAx>
        <c:axId val="1545157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5163272"/>
        <c:crosses val="autoZero"/>
        <c:auto val="1"/>
        <c:lblAlgn val="ctr"/>
        <c:lblOffset val="100"/>
        <c:noMultiLvlLbl val="0"/>
      </c:catAx>
      <c:valAx>
        <c:axId val="15451632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57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Sustainability</a:t>
            </a:r>
            <a:r>
              <a:rPr lang="en-GB" sz="1600" b="1" baseline="0"/>
              <a:t> Pattern</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cked"/>
        <c:varyColors val="0"/>
        <c:ser>
          <c:idx val="0"/>
          <c:order val="0"/>
          <c:tx>
            <c:strRef>
              <c:f>NVIDIA!$A$30</c:f>
              <c:strCache>
                <c:ptCount val="1"/>
                <c:pt idx="0">
                  <c:v>Cash from Financial Activities</c:v>
                </c:pt>
              </c:strCache>
            </c:strRef>
          </c:tx>
          <c:spPr>
            <a:ln w="28575" cap="rnd">
              <a:solidFill>
                <a:schemeClr val="accent1"/>
              </a:solidFill>
              <a:round/>
            </a:ln>
            <a:effectLst/>
          </c:spPr>
          <c:marker>
            <c:symbol val="none"/>
          </c:marker>
          <c:cat>
            <c:numRef>
              <c:f>(NVIDIA!$F$29,NVIDIA!$E$29,NVIDIA!$D$29,NVIDIA!$C$29,NVIDIA!$B$29)</c:f>
              <c:numCache>
                <c:formatCode>General</c:formatCode>
                <c:ptCount val="5"/>
                <c:pt idx="0">
                  <c:v>2020</c:v>
                </c:pt>
                <c:pt idx="1">
                  <c:v>2021</c:v>
                </c:pt>
                <c:pt idx="2">
                  <c:v>2022</c:v>
                </c:pt>
                <c:pt idx="3">
                  <c:v>2023</c:v>
                </c:pt>
                <c:pt idx="4">
                  <c:v>2024</c:v>
                </c:pt>
              </c:numCache>
            </c:numRef>
          </c:cat>
          <c:val>
            <c:numRef>
              <c:f>(NVIDIA!$F$30,NVIDIA!$E$30,NVIDIA!$D$30,NVIDIA!$C$30,NVIDIA!$B$30)</c:f>
              <c:numCache>
                <c:formatCode>_(* #,##0_);_(* \(#,##0\);_(* "-"??_);_(@_)</c:formatCode>
                <c:ptCount val="5"/>
                <c:pt idx="0">
                  <c:v>-792</c:v>
                </c:pt>
                <c:pt idx="1">
                  <c:v>3804</c:v>
                </c:pt>
                <c:pt idx="2">
                  <c:v>1865</c:v>
                </c:pt>
                <c:pt idx="3">
                  <c:v>-11617</c:v>
                </c:pt>
                <c:pt idx="4">
                  <c:v>-13633</c:v>
                </c:pt>
              </c:numCache>
            </c:numRef>
          </c:val>
          <c:smooth val="1"/>
          <c:extLst>
            <c:ext xmlns:c16="http://schemas.microsoft.com/office/drawing/2014/chart" uri="{C3380CC4-5D6E-409C-BE32-E72D297353CC}">
              <c16:uniqueId val="{00000000-33FC-B345-8798-9DD20672A639}"/>
            </c:ext>
          </c:extLst>
        </c:ser>
        <c:ser>
          <c:idx val="1"/>
          <c:order val="1"/>
          <c:tx>
            <c:strRef>
              <c:f>NVIDIA!$A$31</c:f>
              <c:strCache>
                <c:ptCount val="1"/>
                <c:pt idx="0">
                  <c:v>Cash from Operating Activities (CFO)</c:v>
                </c:pt>
              </c:strCache>
            </c:strRef>
          </c:tx>
          <c:spPr>
            <a:ln w="28575" cap="rnd">
              <a:solidFill>
                <a:schemeClr val="accent2"/>
              </a:solidFill>
              <a:round/>
            </a:ln>
            <a:effectLst/>
          </c:spPr>
          <c:marker>
            <c:symbol val="none"/>
          </c:marker>
          <c:cat>
            <c:numRef>
              <c:f>(NVIDIA!$F$29,NVIDIA!$E$29,NVIDIA!$D$29,NVIDIA!$C$29,NVIDIA!$B$29)</c:f>
              <c:numCache>
                <c:formatCode>General</c:formatCode>
                <c:ptCount val="5"/>
                <c:pt idx="0">
                  <c:v>2020</c:v>
                </c:pt>
                <c:pt idx="1">
                  <c:v>2021</c:v>
                </c:pt>
                <c:pt idx="2">
                  <c:v>2022</c:v>
                </c:pt>
                <c:pt idx="3">
                  <c:v>2023</c:v>
                </c:pt>
                <c:pt idx="4">
                  <c:v>2024</c:v>
                </c:pt>
              </c:numCache>
            </c:numRef>
          </c:cat>
          <c:val>
            <c:numRef>
              <c:f>(NVIDIA!$F$31,NVIDIA!$E$31,NVIDIA!$D$31,NVIDIA!$C$31,NVIDIA!$B$31)</c:f>
              <c:numCache>
                <c:formatCode>_(* #,##0_);_(* \(#,##0\);_(* "-"??_);_(@_)</c:formatCode>
                <c:ptCount val="5"/>
                <c:pt idx="0">
                  <c:v>4761</c:v>
                </c:pt>
                <c:pt idx="1">
                  <c:v>5822</c:v>
                </c:pt>
                <c:pt idx="2">
                  <c:v>9108</c:v>
                </c:pt>
                <c:pt idx="3">
                  <c:v>5641</c:v>
                </c:pt>
                <c:pt idx="4">
                  <c:v>28090</c:v>
                </c:pt>
              </c:numCache>
            </c:numRef>
          </c:val>
          <c:smooth val="1"/>
          <c:extLst>
            <c:ext xmlns:c16="http://schemas.microsoft.com/office/drawing/2014/chart" uri="{C3380CC4-5D6E-409C-BE32-E72D297353CC}">
              <c16:uniqueId val="{00000001-33FC-B345-8798-9DD20672A639}"/>
            </c:ext>
          </c:extLst>
        </c:ser>
        <c:ser>
          <c:idx val="2"/>
          <c:order val="2"/>
          <c:tx>
            <c:strRef>
              <c:f>NVIDIA!$A$32</c:f>
              <c:strCache>
                <c:ptCount val="1"/>
                <c:pt idx="0">
                  <c:v>Cash from Investing Activities</c:v>
                </c:pt>
              </c:strCache>
            </c:strRef>
          </c:tx>
          <c:spPr>
            <a:ln w="28575" cap="rnd">
              <a:solidFill>
                <a:schemeClr val="accent3"/>
              </a:solidFill>
              <a:round/>
            </a:ln>
            <a:effectLst/>
          </c:spPr>
          <c:marker>
            <c:symbol val="none"/>
          </c:marker>
          <c:cat>
            <c:numRef>
              <c:f>(NVIDIA!$F$29,NVIDIA!$E$29,NVIDIA!$D$29,NVIDIA!$C$29,NVIDIA!$B$29)</c:f>
              <c:numCache>
                <c:formatCode>General</c:formatCode>
                <c:ptCount val="5"/>
                <c:pt idx="0">
                  <c:v>2020</c:v>
                </c:pt>
                <c:pt idx="1">
                  <c:v>2021</c:v>
                </c:pt>
                <c:pt idx="2">
                  <c:v>2022</c:v>
                </c:pt>
                <c:pt idx="3">
                  <c:v>2023</c:v>
                </c:pt>
                <c:pt idx="4">
                  <c:v>2024</c:v>
                </c:pt>
              </c:numCache>
            </c:numRef>
          </c:cat>
          <c:val>
            <c:numRef>
              <c:f>(NVIDIA!$F$32,NVIDIA!$E$32,NVIDIA!$D$32,NVIDIA!$C$32,NVIDIA!$B$32)</c:f>
              <c:numCache>
                <c:formatCode>_(* #,##0_);_(* \(#,##0\);_(* "-"??_);_(@_)</c:formatCode>
                <c:ptCount val="5"/>
                <c:pt idx="0">
                  <c:v>6145</c:v>
                </c:pt>
                <c:pt idx="1">
                  <c:v>-19675</c:v>
                </c:pt>
                <c:pt idx="2">
                  <c:v>-9830</c:v>
                </c:pt>
                <c:pt idx="3">
                  <c:v>7375</c:v>
                </c:pt>
                <c:pt idx="4">
                  <c:v>-10566</c:v>
                </c:pt>
              </c:numCache>
            </c:numRef>
          </c:val>
          <c:smooth val="1"/>
          <c:extLst>
            <c:ext xmlns:c16="http://schemas.microsoft.com/office/drawing/2014/chart" uri="{C3380CC4-5D6E-409C-BE32-E72D297353CC}">
              <c16:uniqueId val="{00000002-33FC-B345-8798-9DD20672A639}"/>
            </c:ext>
          </c:extLst>
        </c:ser>
        <c:ser>
          <c:idx val="3"/>
          <c:order val="3"/>
          <c:tx>
            <c:strRef>
              <c:f>NVIDIA!$A$33</c:f>
              <c:strCache>
                <c:ptCount val="1"/>
                <c:pt idx="0">
                  <c:v>Free Cashflow</c:v>
                </c:pt>
              </c:strCache>
            </c:strRef>
          </c:tx>
          <c:spPr>
            <a:ln w="28575" cap="rnd">
              <a:solidFill>
                <a:schemeClr val="accent4"/>
              </a:solidFill>
              <a:round/>
            </a:ln>
            <a:effectLst/>
          </c:spPr>
          <c:marker>
            <c:symbol val="none"/>
          </c:marker>
          <c:cat>
            <c:numRef>
              <c:f>(NVIDIA!$F$29,NVIDIA!$E$29,NVIDIA!$D$29,NVIDIA!$C$29,NVIDIA!$B$29)</c:f>
              <c:numCache>
                <c:formatCode>General</c:formatCode>
                <c:ptCount val="5"/>
                <c:pt idx="0">
                  <c:v>2020</c:v>
                </c:pt>
                <c:pt idx="1">
                  <c:v>2021</c:v>
                </c:pt>
                <c:pt idx="2">
                  <c:v>2022</c:v>
                </c:pt>
                <c:pt idx="3">
                  <c:v>2023</c:v>
                </c:pt>
                <c:pt idx="4">
                  <c:v>2024</c:v>
                </c:pt>
              </c:numCache>
            </c:numRef>
          </c:cat>
          <c:val>
            <c:numRef>
              <c:f>(NVIDIA!$F$33,NVIDIA!$E$33,NVIDIA!$D$33,NVIDIA!$C$33,NVIDIA!$B$33)</c:f>
              <c:numCache>
                <c:formatCode>_(* #,##0_);_(* \(#,##0\);_(* "-"??_);_(@_)</c:formatCode>
                <c:ptCount val="5"/>
                <c:pt idx="0">
                  <c:v>-1384</c:v>
                </c:pt>
                <c:pt idx="1">
                  <c:v>-13853</c:v>
                </c:pt>
                <c:pt idx="2">
                  <c:v>-722</c:v>
                </c:pt>
                <c:pt idx="3">
                  <c:v>-1734</c:v>
                </c:pt>
                <c:pt idx="4">
                  <c:v>17524</c:v>
                </c:pt>
              </c:numCache>
            </c:numRef>
          </c:val>
          <c:smooth val="1"/>
          <c:extLst>
            <c:ext xmlns:c16="http://schemas.microsoft.com/office/drawing/2014/chart" uri="{C3380CC4-5D6E-409C-BE32-E72D297353CC}">
              <c16:uniqueId val="{00000003-33FC-B345-8798-9DD20672A639}"/>
            </c:ext>
          </c:extLst>
        </c:ser>
        <c:dLbls>
          <c:showLegendKey val="0"/>
          <c:showVal val="0"/>
          <c:showCatName val="0"/>
          <c:showSerName val="0"/>
          <c:showPercent val="0"/>
          <c:showBubbleSize val="0"/>
        </c:dLbls>
        <c:smooth val="0"/>
        <c:axId val="1766718783"/>
        <c:axId val="1715610367"/>
      </c:lineChart>
      <c:catAx>
        <c:axId val="17667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610367"/>
        <c:crosses val="autoZero"/>
        <c:auto val="1"/>
        <c:lblAlgn val="ctr"/>
        <c:lblOffset val="100"/>
        <c:noMultiLvlLbl val="0"/>
      </c:catAx>
      <c:valAx>
        <c:axId val="17156103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18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NVIDIA!$A$62</c:f>
              <c:strCache>
                <c:ptCount val="1"/>
                <c:pt idx="0">
                  <c:v>Gross Margin (%)</c:v>
                </c:pt>
              </c:strCache>
            </c:strRef>
          </c:tx>
          <c:spPr>
            <a:ln w="28575" cap="rnd">
              <a:solidFill>
                <a:srgbClr val="637CEF"/>
              </a:solidFill>
              <a:round/>
            </a:ln>
            <a:effectLst/>
          </c:spPr>
          <c:marker>
            <c:symbol val="none"/>
          </c:marker>
          <c:cat>
            <c:numRef>
              <c:f>(NVIDIA!$F$61,NVIDIA!$E$61,NVIDIA!$D$61,NVIDIA!$C$61,NVIDIA!$B$61)</c:f>
              <c:numCache>
                <c:formatCode>General</c:formatCode>
                <c:ptCount val="5"/>
                <c:pt idx="0">
                  <c:v>2020</c:v>
                </c:pt>
                <c:pt idx="1">
                  <c:v>2021</c:v>
                </c:pt>
                <c:pt idx="2">
                  <c:v>2022</c:v>
                </c:pt>
                <c:pt idx="3">
                  <c:v>2023</c:v>
                </c:pt>
                <c:pt idx="4">
                  <c:v>2024</c:v>
                </c:pt>
              </c:numCache>
            </c:numRef>
          </c:cat>
          <c:val>
            <c:numRef>
              <c:f>(NVIDIA!$F$62,NVIDIA!$E$62,NVIDIA!$D$62,NVIDIA!$C$62,NVIDIA!$B$62)</c:f>
              <c:numCache>
                <c:formatCode>0.00%</c:formatCode>
                <c:ptCount val="5"/>
                <c:pt idx="0">
                  <c:v>0.61989375343469499</c:v>
                </c:pt>
                <c:pt idx="1">
                  <c:v>0.62344827586206897</c:v>
                </c:pt>
                <c:pt idx="2">
                  <c:v>0.64929033216913135</c:v>
                </c:pt>
                <c:pt idx="3">
                  <c:v>0.56928894490991322</c:v>
                </c:pt>
                <c:pt idx="4">
                  <c:v>0.72717573290436954</c:v>
                </c:pt>
              </c:numCache>
            </c:numRef>
          </c:val>
          <c:smooth val="0"/>
          <c:extLst>
            <c:ext xmlns:c16="http://schemas.microsoft.com/office/drawing/2014/chart" uri="{C3380CC4-5D6E-409C-BE32-E72D297353CC}">
              <c16:uniqueId val="{00000000-3299-43DB-B223-F2E0F476FEE8}"/>
            </c:ext>
          </c:extLst>
        </c:ser>
        <c:dLbls>
          <c:showLegendKey val="0"/>
          <c:showVal val="0"/>
          <c:showCatName val="0"/>
          <c:showSerName val="0"/>
          <c:showPercent val="0"/>
          <c:showBubbleSize val="0"/>
        </c:dLbls>
        <c:smooth val="0"/>
        <c:axId val="128921472"/>
        <c:axId val="128924352"/>
      </c:lineChart>
      <c:catAx>
        <c:axId val="1289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4352"/>
        <c:crosses val="autoZero"/>
        <c:auto val="1"/>
        <c:lblAlgn val="ctr"/>
        <c:lblOffset val="100"/>
        <c:noMultiLvlLbl val="0"/>
      </c:catAx>
      <c:valAx>
        <c:axId val="128924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NVIDIA!$A$64</c:f>
              <c:strCache>
                <c:ptCount val="1"/>
                <c:pt idx="0">
                  <c:v>Net Profit Margin (%)</c:v>
                </c:pt>
              </c:strCache>
            </c:strRef>
          </c:tx>
          <c:spPr>
            <a:ln w="28575" cap="rnd">
              <a:solidFill>
                <a:schemeClr val="accent1"/>
              </a:solidFill>
              <a:round/>
            </a:ln>
            <a:effectLst/>
          </c:spPr>
          <c:marker>
            <c:symbol val="none"/>
          </c:marker>
          <c:cat>
            <c:numRef>
              <c:f>(NVIDIA!$F$61,NVIDIA!$E$61,NVIDIA!$D$61,NVIDIA!$C$61,NVIDIA!$B$61)</c:f>
              <c:numCache>
                <c:formatCode>General</c:formatCode>
                <c:ptCount val="5"/>
                <c:pt idx="0">
                  <c:v>2020</c:v>
                </c:pt>
                <c:pt idx="1">
                  <c:v>2021</c:v>
                </c:pt>
                <c:pt idx="2">
                  <c:v>2022</c:v>
                </c:pt>
                <c:pt idx="3">
                  <c:v>2023</c:v>
                </c:pt>
                <c:pt idx="4">
                  <c:v>2024</c:v>
                </c:pt>
              </c:numCache>
            </c:numRef>
          </c:cat>
          <c:val>
            <c:numRef>
              <c:f>(NVIDIA!$F$64,NVIDIA!$E$64,NVIDIA!$D$64,NVIDIA!$C$64,NVIDIA!$B$64)</c:f>
              <c:numCache>
                <c:formatCode>0.00%</c:formatCode>
                <c:ptCount val="5"/>
                <c:pt idx="0">
                  <c:v>0.25609085913170909</c:v>
                </c:pt>
                <c:pt idx="1">
                  <c:v>0.25979010494752625</c:v>
                </c:pt>
                <c:pt idx="2">
                  <c:v>0.36233930296499961</c:v>
                </c:pt>
                <c:pt idx="3">
                  <c:v>0.16193371394676356</c:v>
                </c:pt>
                <c:pt idx="4">
                  <c:v>0.4884934834706674</c:v>
                </c:pt>
              </c:numCache>
            </c:numRef>
          </c:val>
          <c:smooth val="0"/>
          <c:extLst>
            <c:ext xmlns:c16="http://schemas.microsoft.com/office/drawing/2014/chart" uri="{C3380CC4-5D6E-409C-BE32-E72D297353CC}">
              <c16:uniqueId val="{00000000-77C7-4970-BCD1-9B698A9E36A2}"/>
            </c:ext>
          </c:extLst>
        </c:ser>
        <c:dLbls>
          <c:showLegendKey val="0"/>
          <c:showVal val="0"/>
          <c:showCatName val="0"/>
          <c:showSerName val="0"/>
          <c:showPercent val="0"/>
          <c:showBubbleSize val="0"/>
        </c:dLbls>
        <c:smooth val="0"/>
        <c:axId val="125556016"/>
        <c:axId val="125555536"/>
      </c:lineChart>
      <c:catAx>
        <c:axId val="12555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5536"/>
        <c:crosses val="autoZero"/>
        <c:auto val="1"/>
        <c:lblAlgn val="ctr"/>
        <c:lblOffset val="100"/>
        <c:noMultiLvlLbl val="0"/>
      </c:catAx>
      <c:valAx>
        <c:axId val="125555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[1]AMD!$A$10</c:f>
              <c:strCache>
                <c:ptCount val="1"/>
                <c:pt idx="0">
                  <c:v>Operating Margin</c:v>
                </c:pt>
              </c:strCache>
            </c:strRef>
          </c:tx>
          <c:spPr>
            <a:ln w="31750" cap="rnd">
              <a:solidFill>
                <a:schemeClr val="accent1"/>
              </a:solidFill>
              <a:round/>
            </a:ln>
            <a:effectLst/>
          </c:spPr>
          <c:marker>
            <c:symbol val="circle"/>
            <c:size val="17"/>
            <c:spPr>
              <a:solidFill>
                <a:schemeClr val="accent1"/>
              </a:solidFill>
              <a:ln>
                <a:noFill/>
              </a:ln>
              <a:effectLst/>
            </c:spPr>
          </c:marker>
          <c:dLbls>
            <c:delete val="1"/>
          </c:dLbls>
          <c:cat>
            <c:numRef>
              <c:f>([1]AMD!$F$3,[1]AMD!$E$3,[1]AMD!$D$3,[1]AMD!$C$3,[1]AMD!$B$3)</c:f>
              <c:numCache>
                <c:formatCode>General</c:formatCode>
                <c:ptCount val="5"/>
                <c:pt idx="0">
                  <c:v>2020</c:v>
                </c:pt>
                <c:pt idx="1">
                  <c:v>2021</c:v>
                </c:pt>
                <c:pt idx="2">
                  <c:v>2022</c:v>
                </c:pt>
                <c:pt idx="3">
                  <c:v>2023</c:v>
                </c:pt>
                <c:pt idx="4">
                  <c:v>2024</c:v>
                </c:pt>
              </c:numCache>
            </c:numRef>
          </c:cat>
          <c:val>
            <c:numRef>
              <c:f>([1]AMD!$F$10,[1]AMD!$E$10,[1]AMD!$D$10,[1]AMD!$C$10,[1]AMD!$B$10)</c:f>
              <c:numCache>
                <c:formatCode>General</c:formatCode>
                <c:ptCount val="5"/>
                <c:pt idx="0">
                  <c:v>0.14022329202089523</c:v>
                </c:pt>
                <c:pt idx="1">
                  <c:v>0.22197882438846295</c:v>
                </c:pt>
                <c:pt idx="2">
                  <c:v>5.3557052667259859E-2</c:v>
                </c:pt>
                <c:pt idx="3">
                  <c:v>1.7680776014109348E-2</c:v>
                </c:pt>
                <c:pt idx="4">
                  <c:v>7.3686251696722896E-2</c:v>
                </c:pt>
              </c:numCache>
            </c:numRef>
          </c:val>
          <c:smooth val="0"/>
          <c:extLst>
            <c:ext xmlns:c16="http://schemas.microsoft.com/office/drawing/2014/chart" uri="{C3380CC4-5D6E-409C-BE32-E72D297353CC}">
              <c16:uniqueId val="{00000000-5431-8B45-B174-DA59AFC9DA7B}"/>
            </c:ext>
          </c:extLst>
        </c:ser>
        <c:dLbls>
          <c:dLblPos val="ctr"/>
          <c:showLegendKey val="0"/>
          <c:showVal val="1"/>
          <c:showCatName val="0"/>
          <c:showSerName val="0"/>
          <c:showPercent val="0"/>
          <c:showBubbleSize val="0"/>
        </c:dLbls>
        <c:marker val="1"/>
        <c:smooth val="0"/>
        <c:axId val="432402687"/>
        <c:axId val="432398655"/>
      </c:lineChart>
      <c:catAx>
        <c:axId val="432402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2398655"/>
        <c:crosses val="autoZero"/>
        <c:auto val="1"/>
        <c:lblAlgn val="ctr"/>
        <c:lblOffset val="100"/>
        <c:noMultiLvlLbl val="0"/>
      </c:catAx>
      <c:valAx>
        <c:axId val="432398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240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[1]AMD!$A$15</c:f>
              <c:strCache>
                <c:ptCount val="1"/>
                <c:pt idx="0">
                  <c:v>Net Profit Margin</c:v>
                </c:pt>
              </c:strCache>
            </c:strRef>
          </c:tx>
          <c:spPr>
            <a:ln w="31750" cap="rnd">
              <a:solidFill>
                <a:schemeClr val="accent1"/>
              </a:solidFill>
              <a:round/>
            </a:ln>
            <a:effectLst/>
          </c:spPr>
          <c:marker>
            <c:symbol val="circle"/>
            <c:size val="17"/>
            <c:spPr>
              <a:solidFill>
                <a:schemeClr val="accent1"/>
              </a:solidFill>
              <a:ln>
                <a:noFill/>
              </a:ln>
              <a:effectLst/>
            </c:spPr>
          </c:marker>
          <c:cat>
            <c:numRef>
              <c:f>(AMD!$F$69,AMD!$E$69,AMD!$D$69,AMD!$C$69,AMD!$B$69)</c:f>
              <c:numCache>
                <c:formatCode>General</c:formatCode>
                <c:ptCount val="5"/>
                <c:pt idx="0">
                  <c:v>2020</c:v>
                </c:pt>
                <c:pt idx="1">
                  <c:v>2021</c:v>
                </c:pt>
                <c:pt idx="2">
                  <c:v>2022</c:v>
                </c:pt>
                <c:pt idx="3">
                  <c:v>2023</c:v>
                </c:pt>
                <c:pt idx="4">
                  <c:v>2024</c:v>
                </c:pt>
              </c:numCache>
            </c:numRef>
          </c:cat>
          <c:val>
            <c:numRef>
              <c:f>(AMD!$F$72,AMD!$E$72,AMD!$D$72,AMD!$C$72,AMD!$B$72)</c:f>
              <c:numCache>
                <c:formatCode>0.00%</c:formatCode>
                <c:ptCount val="5"/>
                <c:pt idx="0">
                  <c:v>0.25504455597664655</c:v>
                </c:pt>
                <c:pt idx="1">
                  <c:v>0.19240598758671049</c:v>
                </c:pt>
                <c:pt idx="2">
                  <c:v>5.5929833481632135E-2</c:v>
                </c:pt>
                <c:pt idx="3">
                  <c:v>3.7654320987654324E-2</c:v>
                </c:pt>
                <c:pt idx="4">
                  <c:v>6.3641652123327522E-2</c:v>
                </c:pt>
              </c:numCache>
            </c:numRef>
          </c:val>
          <c:smooth val="0"/>
          <c:extLst>
            <c:ext xmlns:c16="http://schemas.microsoft.com/office/drawing/2014/chart" uri="{C3380CC4-5D6E-409C-BE32-E72D297353CC}">
              <c16:uniqueId val="{00000000-D68C-1448-96ED-650F0B100E32}"/>
            </c:ext>
          </c:extLst>
        </c:ser>
        <c:dLbls>
          <c:showLegendKey val="0"/>
          <c:showVal val="0"/>
          <c:showCatName val="0"/>
          <c:showSerName val="0"/>
          <c:showPercent val="0"/>
          <c:showBubbleSize val="0"/>
        </c:dLbls>
        <c:marker val="1"/>
        <c:smooth val="0"/>
        <c:axId val="432402687"/>
        <c:axId val="432398655"/>
      </c:lineChart>
      <c:catAx>
        <c:axId val="432402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2398655"/>
        <c:crosses val="autoZero"/>
        <c:auto val="1"/>
        <c:lblAlgn val="ctr"/>
        <c:lblOffset val="100"/>
        <c:noMultiLvlLbl val="0"/>
      </c:catAx>
      <c:valAx>
        <c:axId val="432398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240268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[1]AMD!$A$8</c:f>
              <c:strCache>
                <c:ptCount val="1"/>
                <c:pt idx="0">
                  <c:v>Total Operating Expenses</c:v>
                </c:pt>
              </c:strCache>
            </c:strRef>
          </c:tx>
          <c:spPr>
            <a:ln w="31750" cap="rnd">
              <a:solidFill>
                <a:schemeClr val="accent1"/>
              </a:solidFill>
              <a:round/>
            </a:ln>
            <a:effectLst/>
          </c:spPr>
          <c:marker>
            <c:symbol val="circle"/>
            <c:size val="17"/>
            <c:spPr>
              <a:solidFill>
                <a:schemeClr val="accent1"/>
              </a:solidFill>
              <a:ln>
                <a:noFill/>
              </a:ln>
              <a:effectLst/>
            </c:spPr>
          </c:marker>
          <c:cat>
            <c:numRef>
              <c:f>([1]AMD!$F$3,[1]AMD!$E$3,[1]AMD!$D$3,[1]AMD!$C$3,[1]AMD!$B$3)</c:f>
              <c:numCache>
                <c:formatCode>General</c:formatCode>
                <c:ptCount val="5"/>
                <c:pt idx="0">
                  <c:v>2020</c:v>
                </c:pt>
                <c:pt idx="1">
                  <c:v>2021</c:v>
                </c:pt>
                <c:pt idx="2">
                  <c:v>2022</c:v>
                </c:pt>
                <c:pt idx="3">
                  <c:v>2023</c:v>
                </c:pt>
                <c:pt idx="4">
                  <c:v>2024</c:v>
                </c:pt>
              </c:numCache>
            </c:numRef>
          </c:cat>
          <c:val>
            <c:numRef>
              <c:f>([1]AMD!$F$8,[1]AMD!$E$8,[1]AMD!$D$8,[1]AMD!$C$8,[1]AMD!$B$8)</c:f>
              <c:numCache>
                <c:formatCode>General</c:formatCode>
                <c:ptCount val="5"/>
                <c:pt idx="0">
                  <c:v>2978</c:v>
                </c:pt>
                <c:pt idx="1">
                  <c:v>4281</c:v>
                </c:pt>
                <c:pt idx="2">
                  <c:v>9339</c:v>
                </c:pt>
                <c:pt idx="3">
                  <c:v>5338</c:v>
                </c:pt>
                <c:pt idx="4">
                  <c:v>10825</c:v>
                </c:pt>
              </c:numCache>
            </c:numRef>
          </c:val>
          <c:smooth val="0"/>
          <c:extLst>
            <c:ext xmlns:c16="http://schemas.microsoft.com/office/drawing/2014/chart" uri="{C3380CC4-5D6E-409C-BE32-E72D297353CC}">
              <c16:uniqueId val="{00000000-C55E-A94F-98AC-E3B88CEBF08E}"/>
            </c:ext>
          </c:extLst>
        </c:ser>
        <c:dLbls>
          <c:showLegendKey val="0"/>
          <c:showVal val="0"/>
          <c:showCatName val="0"/>
          <c:showSerName val="0"/>
          <c:showPercent val="0"/>
          <c:showBubbleSize val="0"/>
        </c:dLbls>
        <c:marker val="1"/>
        <c:smooth val="0"/>
        <c:axId val="432402687"/>
        <c:axId val="432398655"/>
      </c:lineChart>
      <c:catAx>
        <c:axId val="432402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2398655"/>
        <c:crosses val="autoZero"/>
        <c:auto val="1"/>
        <c:lblAlgn val="ctr"/>
        <c:lblOffset val="100"/>
        <c:noMultiLvlLbl val="0"/>
      </c:catAx>
      <c:valAx>
        <c:axId val="432398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in $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240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[1]AMD!$A$50</c:f>
              <c:strCache>
                <c:ptCount val="1"/>
                <c:pt idx="0">
                  <c:v>Free Cash Flow (FCF)</c:v>
                </c:pt>
              </c:strCache>
            </c:strRef>
          </c:tx>
          <c:spPr>
            <a:solidFill>
              <a:schemeClr val="accent1">
                <a:alpha val="85000"/>
              </a:schemeClr>
            </a:solidFill>
            <a:ln w="9525" cap="flat" cmpd="sng" algn="ctr">
              <a:solidFill>
                <a:schemeClr val="lt1">
                  <a:alpha val="50000"/>
                </a:schemeClr>
              </a:solidFill>
              <a:round/>
            </a:ln>
            <a:effectLst/>
          </c:spPr>
          <c:invertIfNegative val="0"/>
          <c:cat>
            <c:numRef>
              <c:f>([1]AMD!$F$46,[1]AMD!$E$46,[1]AMD!$D$46,[1]AMD!$C$46,[1]AMD!$B$46)</c:f>
              <c:numCache>
                <c:formatCode>General</c:formatCode>
                <c:ptCount val="5"/>
                <c:pt idx="0">
                  <c:v>2020</c:v>
                </c:pt>
                <c:pt idx="1">
                  <c:v>2021</c:v>
                </c:pt>
                <c:pt idx="2">
                  <c:v>2022</c:v>
                </c:pt>
                <c:pt idx="3">
                  <c:v>2023</c:v>
                </c:pt>
                <c:pt idx="4">
                  <c:v>2024</c:v>
                </c:pt>
              </c:numCache>
            </c:numRef>
          </c:cat>
          <c:val>
            <c:numRef>
              <c:f>([1]AMD!$F$50,[1]AMD!$E$50,[1]AMD!$D$50,[1]AMD!$C$50,[1]AMD!$B$50)</c:f>
              <c:numCache>
                <c:formatCode>General</c:formatCode>
                <c:ptCount val="5"/>
                <c:pt idx="0">
                  <c:v>119</c:v>
                </c:pt>
                <c:pt idx="1">
                  <c:v>2835</c:v>
                </c:pt>
                <c:pt idx="2">
                  <c:v>1566</c:v>
                </c:pt>
                <c:pt idx="3">
                  <c:v>244</c:v>
                </c:pt>
                <c:pt idx="4">
                  <c:v>1940</c:v>
                </c:pt>
              </c:numCache>
            </c:numRef>
          </c:val>
          <c:extLst>
            <c:ext xmlns:c16="http://schemas.microsoft.com/office/drawing/2014/chart" uri="{C3380CC4-5D6E-409C-BE32-E72D297353CC}">
              <c16:uniqueId val="{00000000-915B-934F-8C59-1AE75DC47BEF}"/>
            </c:ext>
          </c:extLst>
        </c:ser>
        <c:dLbls>
          <c:showLegendKey val="0"/>
          <c:showVal val="0"/>
          <c:showCatName val="0"/>
          <c:showSerName val="0"/>
          <c:showPercent val="0"/>
          <c:showBubbleSize val="0"/>
        </c:dLbls>
        <c:gapWidth val="75"/>
        <c:overlap val="-25"/>
        <c:axId val="1840467456"/>
        <c:axId val="325081215"/>
      </c:barChart>
      <c:catAx>
        <c:axId val="1840467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5081215"/>
        <c:crosses val="autoZero"/>
        <c:auto val="1"/>
        <c:lblAlgn val="ctr"/>
        <c:lblOffset val="100"/>
        <c:noMultiLvlLbl val="0"/>
      </c:catAx>
      <c:valAx>
        <c:axId val="3250812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046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t>Sustainability Pattern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[1]AMD!$A$47</c:f>
              <c:strCache>
                <c:ptCount val="1"/>
                <c:pt idx="0">
                  <c:v>Cash from Operating Activities (CFO)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([1]AMD!$F$46,[1]AMD!$E$46,[1]AMD!$D$46,[1]AMD!$C$46,[1]AMD!$B$46)</c:f>
              <c:numCache>
                <c:formatCode>General</c:formatCode>
                <c:ptCount val="5"/>
                <c:pt idx="0">
                  <c:v>2020</c:v>
                </c:pt>
                <c:pt idx="1">
                  <c:v>2021</c:v>
                </c:pt>
                <c:pt idx="2">
                  <c:v>2022</c:v>
                </c:pt>
                <c:pt idx="3">
                  <c:v>2023</c:v>
                </c:pt>
                <c:pt idx="4">
                  <c:v>2024</c:v>
                </c:pt>
              </c:numCache>
            </c:numRef>
          </c:cat>
          <c:val>
            <c:numRef>
              <c:f>([1]AMD!$F$47,[1]AMD!$E$47,[1]AMD!$D$47,[1]AMD!$C$47,[1]AMD!$B$47)</c:f>
              <c:numCache>
                <c:formatCode>General</c:formatCode>
                <c:ptCount val="5"/>
                <c:pt idx="0">
                  <c:v>1071</c:v>
                </c:pt>
                <c:pt idx="1">
                  <c:v>3521</c:v>
                </c:pt>
                <c:pt idx="2">
                  <c:v>3565</c:v>
                </c:pt>
                <c:pt idx="3">
                  <c:v>1667</c:v>
                </c:pt>
                <c:pt idx="4">
                  <c:v>3041</c:v>
                </c:pt>
              </c:numCache>
            </c:numRef>
          </c:val>
          <c:smooth val="1"/>
          <c:extLst>
            <c:ext xmlns:c16="http://schemas.microsoft.com/office/drawing/2014/chart" uri="{C3380CC4-5D6E-409C-BE32-E72D297353CC}">
              <c16:uniqueId val="{00000000-2AFF-C248-AED4-DAA5AAF9FAB0}"/>
            </c:ext>
          </c:extLst>
        </c:ser>
        <c:ser>
          <c:idx val="1"/>
          <c:order val="1"/>
          <c:tx>
            <c:strRef>
              <c:f>[1]AMD!$A$48</c:f>
              <c:strCache>
                <c:ptCount val="1"/>
                <c:pt idx="0">
                  <c:v>Cash used in Investing Activities (CapEx/CFInv)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([1]AMD!$F$46,[1]AMD!$E$46,[1]AMD!$D$46,[1]AMD!$C$46,[1]AMD!$B$46)</c:f>
              <c:numCache>
                <c:formatCode>General</c:formatCode>
                <c:ptCount val="5"/>
                <c:pt idx="0">
                  <c:v>2020</c:v>
                </c:pt>
                <c:pt idx="1">
                  <c:v>2021</c:v>
                </c:pt>
                <c:pt idx="2">
                  <c:v>2022</c:v>
                </c:pt>
                <c:pt idx="3">
                  <c:v>2023</c:v>
                </c:pt>
                <c:pt idx="4">
                  <c:v>2024</c:v>
                </c:pt>
              </c:numCache>
            </c:numRef>
          </c:cat>
          <c:val>
            <c:numRef>
              <c:f>([1]AMD!$F$48,[1]AMD!$E$48,[1]AMD!$D$48,[1]AMD!$C$48,[1]AMD!$B$48)</c:f>
              <c:numCache>
                <c:formatCode>General</c:formatCode>
                <c:ptCount val="5"/>
                <c:pt idx="0">
                  <c:v>-952</c:v>
                </c:pt>
                <c:pt idx="1">
                  <c:v>-686</c:v>
                </c:pt>
                <c:pt idx="2">
                  <c:v>1999</c:v>
                </c:pt>
                <c:pt idx="3">
                  <c:v>-1423</c:v>
                </c:pt>
                <c:pt idx="4">
                  <c:v>-1101</c:v>
                </c:pt>
              </c:numCache>
            </c:numRef>
          </c:val>
          <c:smooth val="1"/>
          <c:extLst>
            <c:ext xmlns:c16="http://schemas.microsoft.com/office/drawing/2014/chart" uri="{C3380CC4-5D6E-409C-BE32-E72D297353CC}">
              <c16:uniqueId val="{00000001-2AFF-C248-AED4-DAA5AAF9FAB0}"/>
            </c:ext>
          </c:extLst>
        </c:ser>
        <c:ser>
          <c:idx val="2"/>
          <c:order val="2"/>
          <c:tx>
            <c:strRef>
              <c:f>[1]AMD!$A$49</c:f>
              <c:strCache>
                <c:ptCount val="1"/>
                <c:pt idx="0">
                  <c:v>Cash used in Financing Activities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([1]AMD!$F$46,[1]AMD!$E$46,[1]AMD!$D$46,[1]AMD!$C$46,[1]AMD!$B$46)</c:f>
              <c:numCache>
                <c:formatCode>General</c:formatCode>
                <c:ptCount val="5"/>
                <c:pt idx="0">
                  <c:v>2020</c:v>
                </c:pt>
                <c:pt idx="1">
                  <c:v>2021</c:v>
                </c:pt>
                <c:pt idx="2">
                  <c:v>2022</c:v>
                </c:pt>
                <c:pt idx="3">
                  <c:v>2023</c:v>
                </c:pt>
                <c:pt idx="4">
                  <c:v>2024</c:v>
                </c:pt>
              </c:numCache>
            </c:numRef>
          </c:cat>
          <c:val>
            <c:numRef>
              <c:f>([1]AMD!$F$49,[1]AMD!$E$49,[1]AMD!$D$49,[1]AMD!$C$49,[1]AMD!$B$49)</c:f>
              <c:numCache>
                <c:formatCode>General</c:formatCode>
                <c:ptCount val="5"/>
                <c:pt idx="0">
                  <c:v>6</c:v>
                </c:pt>
                <c:pt idx="1">
                  <c:v>-1895</c:v>
                </c:pt>
                <c:pt idx="2">
                  <c:v>-3624</c:v>
                </c:pt>
                <c:pt idx="3">
                  <c:v>-1146</c:v>
                </c:pt>
                <c:pt idx="4">
                  <c:v>-2062</c:v>
                </c:pt>
              </c:numCache>
            </c:numRef>
          </c:val>
          <c:smooth val="1"/>
          <c:extLst>
            <c:ext xmlns:c16="http://schemas.microsoft.com/office/drawing/2014/chart" uri="{C3380CC4-5D6E-409C-BE32-E72D297353CC}">
              <c16:uniqueId val="{00000002-2AFF-C248-AED4-DAA5AAF9FAB0}"/>
            </c:ext>
          </c:extLst>
        </c:ser>
        <c:ser>
          <c:idx val="3"/>
          <c:order val="3"/>
          <c:tx>
            <c:strRef>
              <c:f>[1]AMD!$A$50</c:f>
              <c:strCache>
                <c:ptCount val="1"/>
                <c:pt idx="0">
                  <c:v>Free Cash Flow (FCF)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([1]AMD!$F$46,[1]AMD!$E$46,[1]AMD!$D$46,[1]AMD!$C$46,[1]AMD!$B$46)</c:f>
              <c:numCache>
                <c:formatCode>General</c:formatCode>
                <c:ptCount val="5"/>
                <c:pt idx="0">
                  <c:v>2020</c:v>
                </c:pt>
                <c:pt idx="1">
                  <c:v>2021</c:v>
                </c:pt>
                <c:pt idx="2">
                  <c:v>2022</c:v>
                </c:pt>
                <c:pt idx="3">
                  <c:v>2023</c:v>
                </c:pt>
                <c:pt idx="4">
                  <c:v>2024</c:v>
                </c:pt>
              </c:numCache>
            </c:numRef>
          </c:cat>
          <c:val>
            <c:numRef>
              <c:f>([1]AMD!$F$50,[1]AMD!$E$50,[1]AMD!$D$50,[1]AMD!$C$50,[1]AMD!$B$50)</c:f>
              <c:numCache>
                <c:formatCode>General</c:formatCode>
                <c:ptCount val="5"/>
                <c:pt idx="0">
                  <c:v>119</c:v>
                </c:pt>
                <c:pt idx="1">
                  <c:v>2835</c:v>
                </c:pt>
                <c:pt idx="2">
                  <c:v>1566</c:v>
                </c:pt>
                <c:pt idx="3">
                  <c:v>244</c:v>
                </c:pt>
                <c:pt idx="4">
                  <c:v>1940</c:v>
                </c:pt>
              </c:numCache>
            </c:numRef>
          </c:val>
          <c:smooth val="1"/>
          <c:extLst>
            <c:ext xmlns:c16="http://schemas.microsoft.com/office/drawing/2014/chart" uri="{C3380CC4-5D6E-409C-BE32-E72D297353CC}">
              <c16:uniqueId val="{00000003-2AFF-C248-AED4-DAA5AAF9FAB0}"/>
            </c:ext>
          </c:extLst>
        </c:ser>
        <c:dLbls>
          <c:showLegendKey val="0"/>
          <c:showVal val="0"/>
          <c:showCatName val="0"/>
          <c:showSerName val="0"/>
          <c:showPercent val="0"/>
          <c:showBubbleSize val="0"/>
        </c:dLbls>
        <c:marker val="1"/>
        <c:smooth val="0"/>
        <c:axId val="1457584127"/>
        <c:axId val="1426612095"/>
      </c:lineChart>
      <c:catAx>
        <c:axId val="145758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612095"/>
        <c:crosses val="autoZero"/>
        <c:auto val="1"/>
        <c:lblAlgn val="ctr"/>
        <c:lblOffset val="100"/>
        <c:noMultiLvlLbl val="0"/>
      </c:catAx>
      <c:valAx>
        <c:axId val="14266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58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Operating Expenses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AMD!$A$36</c:f>
              <c:strCache>
                <c:ptCount val="1"/>
                <c:pt idx="0">
                  <c:v>Research and development</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numRef>
              <c:f>(AMD!$F$35,AMD!$E$35,AMD!$D$35,AMD!$C$35,AMD!$B$35)</c:f>
              <c:numCache>
                <c:formatCode>General</c:formatCode>
                <c:ptCount val="5"/>
                <c:pt idx="0">
                  <c:v>2020</c:v>
                </c:pt>
                <c:pt idx="1">
                  <c:v>2021</c:v>
                </c:pt>
                <c:pt idx="2">
                  <c:v>2022</c:v>
                </c:pt>
                <c:pt idx="3">
                  <c:v>2023</c:v>
                </c:pt>
                <c:pt idx="4">
                  <c:v>2024</c:v>
                </c:pt>
              </c:numCache>
            </c:numRef>
          </c:cat>
          <c:val>
            <c:numRef>
              <c:f>(AMD!$F$36,AMD!$E$36,AMD!$D$36,AMD!$C$36,AMD!$B$36)</c:f>
              <c:numCache>
                <c:formatCode>_(* #,##0_);_(* \(#,##0\);_(* "-"??_);_(@_)</c:formatCode>
                <c:ptCount val="5"/>
                <c:pt idx="0">
                  <c:v>1983</c:v>
                </c:pt>
                <c:pt idx="1">
                  <c:v>2845</c:v>
                </c:pt>
                <c:pt idx="2">
                  <c:v>5005</c:v>
                </c:pt>
                <c:pt idx="3">
                  <c:v>5872</c:v>
                </c:pt>
                <c:pt idx="4">
                  <c:v>6456</c:v>
                </c:pt>
              </c:numCache>
            </c:numRef>
          </c:val>
          <c:extLst>
            <c:ext xmlns:c16="http://schemas.microsoft.com/office/drawing/2014/chart" uri="{C3380CC4-5D6E-409C-BE32-E72D297353CC}">
              <c16:uniqueId val="{00000000-08AE-5D46-9C8B-D76FEE091C3D}"/>
            </c:ext>
          </c:extLst>
        </c:ser>
        <c:ser>
          <c:idx val="1"/>
          <c:order val="1"/>
          <c:tx>
            <c:strRef>
              <c:f>AMD!$A$37</c:f>
              <c:strCache>
                <c:ptCount val="1"/>
                <c:pt idx="0">
                  <c:v>Marketing, general and administrative</c:v>
                </c:pt>
              </c:strCache>
            </c:strRef>
          </c:tx>
          <c:spPr>
            <a:solidFill>
              <a:schemeClr val="accent1">
                <a:alpha val="85000"/>
              </a:schemeClr>
            </a:solidFill>
            <a:ln w="9525" cap="flat" cmpd="sng" algn="ctr">
              <a:solidFill>
                <a:schemeClr val="lt1">
                  <a:alpha val="50000"/>
                </a:schemeClr>
              </a:solidFill>
              <a:round/>
            </a:ln>
            <a:effectLst/>
          </c:spPr>
          <c:invertIfNegative val="0"/>
          <c:cat>
            <c:numRef>
              <c:f>(AMD!$F$35,AMD!$E$35,AMD!$D$35,AMD!$C$35,AMD!$B$35)</c:f>
              <c:numCache>
                <c:formatCode>General</c:formatCode>
                <c:ptCount val="5"/>
                <c:pt idx="0">
                  <c:v>2020</c:v>
                </c:pt>
                <c:pt idx="1">
                  <c:v>2021</c:v>
                </c:pt>
                <c:pt idx="2">
                  <c:v>2022</c:v>
                </c:pt>
                <c:pt idx="3">
                  <c:v>2023</c:v>
                </c:pt>
                <c:pt idx="4">
                  <c:v>2024</c:v>
                </c:pt>
              </c:numCache>
            </c:numRef>
          </c:cat>
          <c:val>
            <c:numRef>
              <c:f>(AMD!$F$37,AMD!$E$37,AMD!$D$37,AMD!$C$37,AMD!$B$37)</c:f>
              <c:numCache>
                <c:formatCode>_(* #,##0_);_(* \(#,##0\);_(* "-"??_);_(@_)</c:formatCode>
                <c:ptCount val="5"/>
                <c:pt idx="0">
                  <c:v>995</c:v>
                </c:pt>
                <c:pt idx="1">
                  <c:v>1448</c:v>
                </c:pt>
                <c:pt idx="2">
                  <c:v>2336</c:v>
                </c:pt>
                <c:pt idx="3">
                  <c:v>2352</c:v>
                </c:pt>
                <c:pt idx="4">
                  <c:v>2783</c:v>
                </c:pt>
              </c:numCache>
            </c:numRef>
          </c:val>
          <c:extLst>
            <c:ext xmlns:c16="http://schemas.microsoft.com/office/drawing/2014/chart" uri="{C3380CC4-5D6E-409C-BE32-E72D297353CC}">
              <c16:uniqueId val="{00000001-08AE-5D46-9C8B-D76FEE091C3D}"/>
            </c:ext>
          </c:extLst>
        </c:ser>
        <c:ser>
          <c:idx val="2"/>
          <c:order val="2"/>
          <c:tx>
            <c:strRef>
              <c:f>AMD!$A$38</c:f>
              <c:strCache>
                <c:ptCount val="1"/>
                <c:pt idx="0">
                  <c:v>Amortization of acquisition-related intangibles</c:v>
                </c:pt>
              </c:strCache>
            </c:strRef>
          </c:tx>
          <c:spPr>
            <a:solidFill>
              <a:schemeClr val="accent1">
                <a:tint val="65000"/>
                <a:alpha val="85000"/>
              </a:schemeClr>
            </a:solidFill>
            <a:ln w="9525" cap="flat" cmpd="sng" algn="ctr">
              <a:solidFill>
                <a:schemeClr val="lt1">
                  <a:alpha val="50000"/>
                </a:schemeClr>
              </a:solidFill>
              <a:round/>
            </a:ln>
            <a:effectLst/>
          </c:spPr>
          <c:invertIfNegative val="0"/>
          <c:cat>
            <c:numRef>
              <c:f>(AMD!$F$35,AMD!$E$35,AMD!$D$35,AMD!$C$35,AMD!$B$35)</c:f>
              <c:numCache>
                <c:formatCode>General</c:formatCode>
                <c:ptCount val="5"/>
                <c:pt idx="0">
                  <c:v>2020</c:v>
                </c:pt>
                <c:pt idx="1">
                  <c:v>2021</c:v>
                </c:pt>
                <c:pt idx="2">
                  <c:v>2022</c:v>
                </c:pt>
                <c:pt idx="3">
                  <c:v>2023</c:v>
                </c:pt>
                <c:pt idx="4">
                  <c:v>2024</c:v>
                </c:pt>
              </c:numCache>
            </c:numRef>
          </c:cat>
          <c:val>
            <c:numRef>
              <c:f>(AMD!$F$38,AMD!$E$38,AMD!$D$38,AMD!$C$38,AMD!$B$38)</c:f>
              <c:numCache>
                <c:formatCode>_(* #,##0_);_(* \(#,##0\);_(* "-"??_);_(@_)</c:formatCode>
                <c:ptCount val="5"/>
                <c:pt idx="0">
                  <c:v>0</c:v>
                </c:pt>
                <c:pt idx="1">
                  <c:v>0</c:v>
                </c:pt>
                <c:pt idx="2">
                  <c:v>2100</c:v>
                </c:pt>
                <c:pt idx="3">
                  <c:v>1869</c:v>
                </c:pt>
                <c:pt idx="4">
                  <c:v>1448</c:v>
                </c:pt>
              </c:numCache>
            </c:numRef>
          </c:val>
          <c:extLst>
            <c:ext xmlns:c16="http://schemas.microsoft.com/office/drawing/2014/chart" uri="{C3380CC4-5D6E-409C-BE32-E72D297353CC}">
              <c16:uniqueId val="{00000002-08AE-5D46-9C8B-D76FEE091C3D}"/>
            </c:ext>
          </c:extLst>
        </c:ser>
        <c:dLbls>
          <c:showLegendKey val="0"/>
          <c:showVal val="0"/>
          <c:showCatName val="0"/>
          <c:showSerName val="0"/>
          <c:showPercent val="0"/>
          <c:showBubbleSize val="0"/>
        </c:dLbls>
        <c:gapWidth val="75"/>
        <c:overlap val="-25"/>
        <c:axId val="918141376"/>
        <c:axId val="918136000"/>
      </c:barChart>
      <c:catAx>
        <c:axId val="9181413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8136000"/>
        <c:crosses val="autoZero"/>
        <c:auto val="1"/>
        <c:lblAlgn val="ctr"/>
        <c:lblOffset val="100"/>
        <c:noMultiLvlLbl val="0"/>
      </c:catAx>
      <c:valAx>
        <c:axId val="9181360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in $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814137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AMD!$A$70</c:f>
              <c:strCache>
                <c:ptCount val="1"/>
                <c:pt idx="0">
                  <c:v>Gross Profit Margin</c:v>
                </c:pt>
              </c:strCache>
            </c:strRef>
          </c:tx>
          <c:spPr>
            <a:ln w="31750" cap="rnd">
              <a:solidFill>
                <a:schemeClr val="accent1"/>
              </a:solidFill>
              <a:round/>
            </a:ln>
            <a:effectLst/>
          </c:spPr>
          <c:marker>
            <c:symbol val="circle"/>
            <c:size val="17"/>
            <c:spPr>
              <a:solidFill>
                <a:schemeClr val="accent1"/>
              </a:solidFill>
              <a:ln>
                <a:noFill/>
              </a:ln>
              <a:effectLst/>
            </c:spPr>
          </c:marker>
          <c:dLbls>
            <c:delete val="1"/>
          </c:dLbls>
          <c:cat>
            <c:numRef>
              <c:f>(AMD!$F$69,AMD!$E$69,AMD!$D$69,AMD!$C$69,AMD!$B$69)</c:f>
              <c:numCache>
                <c:formatCode>General</c:formatCode>
                <c:ptCount val="5"/>
                <c:pt idx="0">
                  <c:v>2020</c:v>
                </c:pt>
                <c:pt idx="1">
                  <c:v>2021</c:v>
                </c:pt>
                <c:pt idx="2">
                  <c:v>2022</c:v>
                </c:pt>
                <c:pt idx="3">
                  <c:v>2023</c:v>
                </c:pt>
                <c:pt idx="4">
                  <c:v>2024</c:v>
                </c:pt>
              </c:numCache>
            </c:numRef>
          </c:cat>
          <c:val>
            <c:numRef>
              <c:f>(AMD!$F$70,AMD!$E$70,AMD!$D$70,AMD!$C$70,AMD!$B$70)</c:f>
              <c:numCache>
                <c:formatCode>0.00%</c:formatCode>
                <c:ptCount val="5"/>
                <c:pt idx="0">
                  <c:v>0.44525248386766364</c:v>
                </c:pt>
                <c:pt idx="1">
                  <c:v>0.48247535596933189</c:v>
                </c:pt>
                <c:pt idx="2">
                  <c:v>0.4492606245498072</c:v>
                </c:pt>
                <c:pt idx="3">
                  <c:v>0.46119929453262787</c:v>
                </c:pt>
                <c:pt idx="4">
                  <c:v>0.49350397517936784</c:v>
                </c:pt>
              </c:numCache>
            </c:numRef>
          </c:val>
          <c:smooth val="0"/>
          <c:extLst>
            <c:ext xmlns:c16="http://schemas.microsoft.com/office/drawing/2014/chart" uri="{C3380CC4-5D6E-409C-BE32-E72D297353CC}">
              <c16:uniqueId val="{00000000-8F2C-8448-A202-789E4AD88A0A}"/>
            </c:ext>
          </c:extLst>
        </c:ser>
        <c:dLbls>
          <c:dLblPos val="ctr"/>
          <c:showLegendKey val="0"/>
          <c:showVal val="1"/>
          <c:showCatName val="0"/>
          <c:showSerName val="0"/>
          <c:showPercent val="0"/>
          <c:showBubbleSize val="0"/>
        </c:dLbls>
        <c:marker val="1"/>
        <c:smooth val="0"/>
        <c:axId val="973369152"/>
        <c:axId val="973365568"/>
      </c:lineChart>
      <c:catAx>
        <c:axId val="973369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3365568"/>
        <c:crosses val="autoZero"/>
        <c:auto val="1"/>
        <c:lblAlgn val="ctr"/>
        <c:lblOffset val="100"/>
        <c:noMultiLvlLbl val="0"/>
      </c:catAx>
      <c:valAx>
        <c:axId val="9733655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336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a:effectLst/>
              </a:rPr>
              <a:t>Cash used in Investing Activities (CapEx/CFInv)</a:t>
            </a:r>
            <a:r>
              <a:rPr lang="en-IN" b="1">
                <a:effectLst/>
              </a:rPr>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9157324557684395E-2"/>
          <c:y val="0.18458297026467704"/>
          <c:w val="0.88779603875002433"/>
          <c:h val="0.79183819597785943"/>
        </c:manualLayout>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Lbl>
              <c:idx val="0"/>
              <c:layout>
                <c:manualLayout>
                  <c:x val="-2.2006603713917616E-3"/>
                  <c:y val="1.15597383248472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DC-1943-8240-4137772B74C0}"/>
                </c:ext>
              </c:extLst>
            </c:dLbl>
            <c:dLbl>
              <c:idx val="1"/>
              <c:layout>
                <c:manualLayout>
                  <c:x val="0"/>
                  <c:y val="1.15597383248473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DC-1943-8240-4137772B74C0}"/>
                </c:ext>
              </c:extLst>
            </c:dLbl>
            <c:dLbl>
              <c:idx val="2"/>
              <c:layout>
                <c:manualLayout>
                  <c:x val="0"/>
                  <c:y val="1.93048544802447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DC-1943-8240-4137772B74C0}"/>
                </c:ext>
              </c:extLst>
            </c:dLbl>
            <c:dLbl>
              <c:idx val="3"/>
              <c:layout>
                <c:manualLayout>
                  <c:x val="-8.068994814719806E-17"/>
                  <c:y val="1.54322964025460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DC-1943-8240-4137772B74C0}"/>
                </c:ext>
              </c:extLst>
            </c:dLbl>
            <c:dLbl>
              <c:idx val="4"/>
              <c:layout>
                <c:manualLayout>
                  <c:x val="0"/>
                  <c:y val="1.1559738324847248E-2"/>
                </c:manualLayout>
              </c:layout>
              <c:tx>
                <c:rich>
                  <a:bodyPr/>
                  <a:lstStyle/>
                  <a:p>
                    <a:fld id="{3A4C71E3-0027-144C-860F-76119C5D18AC}" type="VALUE">
                      <a:rPr lang="en-US">
                        <a:solidFill>
                          <a:schemeClr val="tx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0DC-1943-8240-4137772B74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(AMD!$F$62,AMD!$E$62,AMD!$D$62,AMD!$C$62,AMD!$B$62)</c:f>
              <c:numCache>
                <c:formatCode>General</c:formatCode>
                <c:ptCount val="5"/>
                <c:pt idx="0">
                  <c:v>2020</c:v>
                </c:pt>
                <c:pt idx="1">
                  <c:v>2021</c:v>
                </c:pt>
                <c:pt idx="2">
                  <c:v>2022</c:v>
                </c:pt>
                <c:pt idx="3">
                  <c:v>2023</c:v>
                </c:pt>
                <c:pt idx="4">
                  <c:v>2024</c:v>
                </c:pt>
              </c:numCache>
            </c:numRef>
          </c:cat>
          <c:val>
            <c:numRef>
              <c:f>(AMD!$B$64,AMD!$C$64,AMD!$D$64,AMD!$E$64,AMD!$F$64)</c:f>
              <c:numCache>
                <c:formatCode>_(* #,##0_);_(* \(#,##0\);_(* "-"??_);_(@_)</c:formatCode>
                <c:ptCount val="5"/>
                <c:pt idx="0">
                  <c:v>-1540</c:v>
                </c:pt>
                <c:pt idx="1">
                  <c:v>-688</c:v>
                </c:pt>
                <c:pt idx="2">
                  <c:v>356</c:v>
                </c:pt>
                <c:pt idx="3">
                  <c:v>-308</c:v>
                </c:pt>
                <c:pt idx="4">
                  <c:v>-294</c:v>
                </c:pt>
              </c:numCache>
            </c:numRef>
          </c:val>
          <c:extLst>
            <c:ext xmlns:c16="http://schemas.microsoft.com/office/drawing/2014/chart" uri="{C3380CC4-5D6E-409C-BE32-E72D297353CC}">
              <c16:uniqueId val="{00000000-50DC-1943-8240-4137772B74C0}"/>
            </c:ext>
          </c:extLst>
        </c:ser>
        <c:dLbls>
          <c:showLegendKey val="0"/>
          <c:showVal val="0"/>
          <c:showCatName val="0"/>
          <c:showSerName val="0"/>
          <c:showPercent val="0"/>
          <c:showBubbleSize val="0"/>
        </c:dLbls>
        <c:gapWidth val="75"/>
        <c:overlap val="40"/>
        <c:axId val="973358848"/>
        <c:axId val="973370944"/>
      </c:barChart>
      <c:catAx>
        <c:axId val="973358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3370944"/>
        <c:crosses val="autoZero"/>
        <c:auto val="1"/>
        <c:lblAlgn val="ctr"/>
        <c:lblOffset val="100"/>
        <c:noMultiLvlLbl val="0"/>
      </c:catAx>
      <c:valAx>
        <c:axId val="9733709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335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Segmented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AMD!$A$45</c:f>
              <c:strCache>
                <c:ptCount val="1"/>
                <c:pt idx="0">
                  <c:v>Data Center</c:v>
                </c:pt>
              </c:strCache>
            </c:strRef>
          </c:tx>
          <c:spPr>
            <a:solidFill>
              <a:schemeClr val="accent1">
                <a:alpha val="85000"/>
              </a:schemeClr>
            </a:solidFill>
            <a:ln w="9525" cap="flat" cmpd="sng" algn="ctr">
              <a:solidFill>
                <a:schemeClr val="lt1">
                  <a:alpha val="50000"/>
                </a:schemeClr>
              </a:solidFill>
              <a:round/>
            </a:ln>
            <a:effectLst/>
          </c:spPr>
          <c:invertIfNegative val="0"/>
          <c:cat>
            <c:numRef>
              <c:f>(AMD!$F$44,AMD!$E$44,AMD!$D$44,AMD!$C$44,AMD!$B$44)</c:f>
              <c:numCache>
                <c:formatCode>General</c:formatCode>
                <c:ptCount val="5"/>
                <c:pt idx="0">
                  <c:v>2020</c:v>
                </c:pt>
                <c:pt idx="1">
                  <c:v>2021</c:v>
                </c:pt>
                <c:pt idx="2">
                  <c:v>2022</c:v>
                </c:pt>
                <c:pt idx="3">
                  <c:v>2023</c:v>
                </c:pt>
                <c:pt idx="4">
                  <c:v>2024</c:v>
                </c:pt>
              </c:numCache>
            </c:numRef>
          </c:cat>
          <c:val>
            <c:numRef>
              <c:f>(AMD!$F$45,AMD!$E$45,AMD!$D$45,AMD!$C$45,AMD!$B$45)</c:f>
              <c:numCache>
                <c:formatCode>_(* #,##0_);_(* \(#,##0\);_(* "-"??_);_(@_)</c:formatCode>
                <c:ptCount val="5"/>
                <c:pt idx="0">
                  <c:v>1685</c:v>
                </c:pt>
                <c:pt idx="1">
                  <c:v>3694</c:v>
                </c:pt>
                <c:pt idx="2">
                  <c:v>6043</c:v>
                </c:pt>
                <c:pt idx="3">
                  <c:v>6496</c:v>
                </c:pt>
                <c:pt idx="4">
                  <c:v>12579</c:v>
                </c:pt>
              </c:numCache>
            </c:numRef>
          </c:val>
          <c:extLst>
            <c:ext xmlns:c16="http://schemas.microsoft.com/office/drawing/2014/chart" uri="{C3380CC4-5D6E-409C-BE32-E72D297353CC}">
              <c16:uniqueId val="{00000000-0346-2F46-9D42-D229A47BC9C3}"/>
            </c:ext>
          </c:extLst>
        </c:ser>
        <c:ser>
          <c:idx val="1"/>
          <c:order val="1"/>
          <c:tx>
            <c:strRef>
              <c:f>AMD!$A$46</c:f>
              <c:strCache>
                <c:ptCount val="1"/>
                <c:pt idx="0">
                  <c:v>Client</c:v>
                </c:pt>
              </c:strCache>
            </c:strRef>
          </c:tx>
          <c:spPr>
            <a:solidFill>
              <a:schemeClr val="accent2">
                <a:alpha val="85000"/>
              </a:schemeClr>
            </a:solidFill>
            <a:ln w="9525" cap="flat" cmpd="sng" algn="ctr">
              <a:solidFill>
                <a:schemeClr val="lt1">
                  <a:alpha val="50000"/>
                </a:schemeClr>
              </a:solidFill>
              <a:round/>
            </a:ln>
            <a:effectLst/>
          </c:spPr>
          <c:invertIfNegative val="0"/>
          <c:cat>
            <c:numRef>
              <c:f>(AMD!$F$44,AMD!$E$44,AMD!$D$44,AMD!$C$44,AMD!$B$44)</c:f>
              <c:numCache>
                <c:formatCode>General</c:formatCode>
                <c:ptCount val="5"/>
                <c:pt idx="0">
                  <c:v>2020</c:v>
                </c:pt>
                <c:pt idx="1">
                  <c:v>2021</c:v>
                </c:pt>
                <c:pt idx="2">
                  <c:v>2022</c:v>
                </c:pt>
                <c:pt idx="3">
                  <c:v>2023</c:v>
                </c:pt>
                <c:pt idx="4">
                  <c:v>2024</c:v>
                </c:pt>
              </c:numCache>
            </c:numRef>
          </c:cat>
          <c:val>
            <c:numRef>
              <c:f>(AMD!$F$46,AMD!$E$46,AMD!$D$46,AMD!$C$46,AMD!$B$46)</c:f>
              <c:numCache>
                <c:formatCode>_(* #,##0_);_(* \(#,##0\);_(* "-"??_);_(@_)</c:formatCode>
                <c:ptCount val="5"/>
                <c:pt idx="0">
                  <c:v>5189</c:v>
                </c:pt>
                <c:pt idx="1">
                  <c:v>6887</c:v>
                </c:pt>
                <c:pt idx="2">
                  <c:v>6201</c:v>
                </c:pt>
                <c:pt idx="3">
                  <c:v>4651</c:v>
                </c:pt>
                <c:pt idx="4">
                  <c:v>7054</c:v>
                </c:pt>
              </c:numCache>
            </c:numRef>
          </c:val>
          <c:extLst>
            <c:ext xmlns:c16="http://schemas.microsoft.com/office/drawing/2014/chart" uri="{C3380CC4-5D6E-409C-BE32-E72D297353CC}">
              <c16:uniqueId val="{00000001-0346-2F46-9D42-D229A47BC9C3}"/>
            </c:ext>
          </c:extLst>
        </c:ser>
        <c:ser>
          <c:idx val="2"/>
          <c:order val="2"/>
          <c:tx>
            <c:strRef>
              <c:f>AMD!$A$47</c:f>
              <c:strCache>
                <c:ptCount val="1"/>
                <c:pt idx="0">
                  <c:v>Gaming</c:v>
                </c:pt>
              </c:strCache>
            </c:strRef>
          </c:tx>
          <c:spPr>
            <a:solidFill>
              <a:schemeClr val="accent3">
                <a:alpha val="85000"/>
              </a:schemeClr>
            </a:solidFill>
            <a:ln w="9525" cap="flat" cmpd="sng" algn="ctr">
              <a:solidFill>
                <a:schemeClr val="lt1">
                  <a:alpha val="50000"/>
                </a:schemeClr>
              </a:solidFill>
              <a:round/>
            </a:ln>
            <a:effectLst/>
          </c:spPr>
          <c:invertIfNegative val="0"/>
          <c:cat>
            <c:numRef>
              <c:f>(AMD!$F$44,AMD!$E$44,AMD!$D$44,AMD!$C$44,AMD!$B$44)</c:f>
              <c:numCache>
                <c:formatCode>General</c:formatCode>
                <c:ptCount val="5"/>
                <c:pt idx="0">
                  <c:v>2020</c:v>
                </c:pt>
                <c:pt idx="1">
                  <c:v>2021</c:v>
                </c:pt>
                <c:pt idx="2">
                  <c:v>2022</c:v>
                </c:pt>
                <c:pt idx="3">
                  <c:v>2023</c:v>
                </c:pt>
                <c:pt idx="4">
                  <c:v>2024</c:v>
                </c:pt>
              </c:numCache>
            </c:numRef>
          </c:cat>
          <c:val>
            <c:numRef>
              <c:f>(AMD!$F$47,AMD!$E$47,AMD!$D$47,AMD!$C$47,AMD!$B$47)</c:f>
              <c:numCache>
                <c:formatCode>_(* #,##0_);_(* \(#,##0\);_(* "-"??_);_(@_)</c:formatCode>
                <c:ptCount val="5"/>
                <c:pt idx="0">
                  <c:v>2746</c:v>
                </c:pt>
                <c:pt idx="1">
                  <c:v>5607</c:v>
                </c:pt>
                <c:pt idx="2">
                  <c:v>6805</c:v>
                </c:pt>
                <c:pt idx="3">
                  <c:v>6212</c:v>
                </c:pt>
                <c:pt idx="4">
                  <c:v>2595</c:v>
                </c:pt>
              </c:numCache>
            </c:numRef>
          </c:val>
          <c:extLst>
            <c:ext xmlns:c16="http://schemas.microsoft.com/office/drawing/2014/chart" uri="{C3380CC4-5D6E-409C-BE32-E72D297353CC}">
              <c16:uniqueId val="{00000002-0346-2F46-9D42-D229A47BC9C3}"/>
            </c:ext>
          </c:extLst>
        </c:ser>
        <c:ser>
          <c:idx val="3"/>
          <c:order val="3"/>
          <c:tx>
            <c:strRef>
              <c:f>AMD!$A$48</c:f>
              <c:strCache>
                <c:ptCount val="1"/>
                <c:pt idx="0">
                  <c:v>Embedded</c:v>
                </c:pt>
              </c:strCache>
            </c:strRef>
          </c:tx>
          <c:spPr>
            <a:solidFill>
              <a:schemeClr val="accent4">
                <a:alpha val="85000"/>
              </a:schemeClr>
            </a:solidFill>
            <a:ln w="9525" cap="flat" cmpd="sng" algn="ctr">
              <a:solidFill>
                <a:schemeClr val="lt1">
                  <a:alpha val="50000"/>
                </a:schemeClr>
              </a:solidFill>
              <a:round/>
            </a:ln>
            <a:effectLst/>
          </c:spPr>
          <c:invertIfNegative val="0"/>
          <c:cat>
            <c:numRef>
              <c:f>(AMD!$F$44,AMD!$E$44,AMD!$D$44,AMD!$C$44,AMD!$B$44)</c:f>
              <c:numCache>
                <c:formatCode>General</c:formatCode>
                <c:ptCount val="5"/>
                <c:pt idx="0">
                  <c:v>2020</c:v>
                </c:pt>
                <c:pt idx="1">
                  <c:v>2021</c:v>
                </c:pt>
                <c:pt idx="2">
                  <c:v>2022</c:v>
                </c:pt>
                <c:pt idx="3">
                  <c:v>2023</c:v>
                </c:pt>
                <c:pt idx="4">
                  <c:v>2024</c:v>
                </c:pt>
              </c:numCache>
            </c:numRef>
          </c:cat>
          <c:val>
            <c:numRef>
              <c:f>(AMD!$F$48,AMD!$E$48,AMD!$D$48,AMD!$C$48,AMD!$B$48)</c:f>
              <c:numCache>
                <c:formatCode>_(* #,##0_);_(* \(#,##0\);_(* "-"??_);_(@_)</c:formatCode>
                <c:ptCount val="5"/>
                <c:pt idx="0">
                  <c:v>143</c:v>
                </c:pt>
                <c:pt idx="1">
                  <c:v>246</c:v>
                </c:pt>
                <c:pt idx="2">
                  <c:v>4552</c:v>
                </c:pt>
                <c:pt idx="3">
                  <c:v>5321</c:v>
                </c:pt>
                <c:pt idx="4">
                  <c:v>3557</c:v>
                </c:pt>
              </c:numCache>
            </c:numRef>
          </c:val>
          <c:extLst>
            <c:ext xmlns:c16="http://schemas.microsoft.com/office/drawing/2014/chart" uri="{C3380CC4-5D6E-409C-BE32-E72D297353CC}">
              <c16:uniqueId val="{00000003-0346-2F46-9D42-D229A47BC9C3}"/>
            </c:ext>
          </c:extLst>
        </c:ser>
        <c:dLbls>
          <c:showLegendKey val="0"/>
          <c:showVal val="0"/>
          <c:showCatName val="0"/>
          <c:showSerName val="0"/>
          <c:showPercent val="0"/>
          <c:showBubbleSize val="0"/>
        </c:dLbls>
        <c:gapWidth val="75"/>
        <c:overlap val="-25"/>
        <c:axId val="277524736"/>
        <c:axId val="277525184"/>
      </c:barChart>
      <c:catAx>
        <c:axId val="2775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7525184"/>
        <c:crosses val="autoZero"/>
        <c:auto val="1"/>
        <c:lblAlgn val="ctr"/>
        <c:lblOffset val="100"/>
        <c:noMultiLvlLbl val="0"/>
      </c:catAx>
      <c:valAx>
        <c:axId val="2775251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75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Total Revenue and Total Cost of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AMD!$A$6</c:f>
              <c:strCache>
                <c:ptCount val="1"/>
                <c:pt idx="0">
                  <c:v>Total Revenue (Sales)</c:v>
                </c:pt>
              </c:strCache>
            </c:strRef>
          </c:tx>
          <c:spPr>
            <a:ln w="31750" cap="rnd">
              <a:solidFill>
                <a:schemeClr val="accent1"/>
              </a:solidFill>
              <a:round/>
            </a:ln>
            <a:effectLst/>
          </c:spPr>
          <c:marker>
            <c:symbol val="circle"/>
            <c:size val="17"/>
            <c:spPr>
              <a:solidFill>
                <a:schemeClr val="accent1"/>
              </a:solidFill>
              <a:ln>
                <a:noFill/>
              </a:ln>
              <a:effectLst/>
            </c:spPr>
          </c:marker>
          <c:dLbls>
            <c:delete val="1"/>
          </c:dLbls>
          <c:cat>
            <c:numRef>
              <c:f>(AMD!$F$5,AMD!$E$5,AMD!$D$5,AMD!$C$5,AMD!$B$5)</c:f>
              <c:numCache>
                <c:formatCode>General</c:formatCode>
                <c:ptCount val="5"/>
                <c:pt idx="0">
                  <c:v>2020</c:v>
                </c:pt>
                <c:pt idx="1">
                  <c:v>2021</c:v>
                </c:pt>
                <c:pt idx="2">
                  <c:v>2022</c:v>
                </c:pt>
                <c:pt idx="3">
                  <c:v>2023</c:v>
                </c:pt>
                <c:pt idx="4">
                  <c:v>2024</c:v>
                </c:pt>
              </c:numCache>
            </c:numRef>
          </c:cat>
          <c:val>
            <c:numRef>
              <c:f>(AMD!$F$6,AMD!$E$6,AMD!$D$6,AMD!$C$6,AMD!$B$6)</c:f>
              <c:numCache>
                <c:formatCode>_(* #,##0_);_(* \(#,##0\);_(* "-"??_);_(@_)</c:formatCode>
                <c:ptCount val="5"/>
                <c:pt idx="0">
                  <c:v>9763</c:v>
                </c:pt>
                <c:pt idx="1">
                  <c:v>16434</c:v>
                </c:pt>
                <c:pt idx="2">
                  <c:v>23601</c:v>
                </c:pt>
                <c:pt idx="3">
                  <c:v>22680</c:v>
                </c:pt>
                <c:pt idx="4">
                  <c:v>25785</c:v>
                </c:pt>
              </c:numCache>
            </c:numRef>
          </c:val>
          <c:smooth val="0"/>
          <c:extLst>
            <c:ext xmlns:c16="http://schemas.microsoft.com/office/drawing/2014/chart" uri="{C3380CC4-5D6E-409C-BE32-E72D297353CC}">
              <c16:uniqueId val="{00000000-5A28-884F-A1B3-1CFC6AD032D4}"/>
            </c:ext>
          </c:extLst>
        </c:ser>
        <c:ser>
          <c:idx val="1"/>
          <c:order val="1"/>
          <c:tx>
            <c:strRef>
              <c:f>AMD!$A$7</c:f>
              <c:strCache>
                <c:ptCount val="1"/>
                <c:pt idx="0">
                  <c:v>Total Cost of Sales </c:v>
                </c:pt>
              </c:strCache>
            </c:strRef>
          </c:tx>
          <c:spPr>
            <a:ln w="31750" cap="rnd">
              <a:solidFill>
                <a:schemeClr val="accent2"/>
              </a:solidFill>
              <a:round/>
            </a:ln>
            <a:effectLst/>
          </c:spPr>
          <c:marker>
            <c:symbol val="circle"/>
            <c:size val="17"/>
            <c:spPr>
              <a:solidFill>
                <a:schemeClr val="accent2"/>
              </a:solidFill>
              <a:ln>
                <a:noFill/>
              </a:ln>
              <a:effectLst/>
            </c:spPr>
          </c:marker>
          <c:dLbls>
            <c:delete val="1"/>
          </c:dLbls>
          <c:cat>
            <c:numRef>
              <c:f>(AMD!$F$5,AMD!$E$5,AMD!$D$5,AMD!$C$5,AMD!$B$5)</c:f>
              <c:numCache>
                <c:formatCode>General</c:formatCode>
                <c:ptCount val="5"/>
                <c:pt idx="0">
                  <c:v>2020</c:v>
                </c:pt>
                <c:pt idx="1">
                  <c:v>2021</c:v>
                </c:pt>
                <c:pt idx="2">
                  <c:v>2022</c:v>
                </c:pt>
                <c:pt idx="3">
                  <c:v>2023</c:v>
                </c:pt>
                <c:pt idx="4">
                  <c:v>2024</c:v>
                </c:pt>
              </c:numCache>
            </c:numRef>
          </c:cat>
          <c:val>
            <c:numRef>
              <c:f>(AMD!$F$7,AMD!$E$7,AMD!$D$7,AMD!$C$7,AMD!$B$7)</c:f>
              <c:numCache>
                <c:formatCode>_(* #,##0_);_(* \(#,##0\);_(* "-"??_);_(@_)</c:formatCode>
                <c:ptCount val="5"/>
                <c:pt idx="0">
                  <c:v>5416</c:v>
                </c:pt>
                <c:pt idx="1">
                  <c:v>8505</c:v>
                </c:pt>
                <c:pt idx="2">
                  <c:v>12998</c:v>
                </c:pt>
                <c:pt idx="3">
                  <c:v>12220</c:v>
                </c:pt>
                <c:pt idx="4">
                  <c:v>13060</c:v>
                </c:pt>
              </c:numCache>
            </c:numRef>
          </c:val>
          <c:smooth val="0"/>
          <c:extLst>
            <c:ext xmlns:c16="http://schemas.microsoft.com/office/drawing/2014/chart" uri="{C3380CC4-5D6E-409C-BE32-E72D297353CC}">
              <c16:uniqueId val="{00000001-5A28-884F-A1B3-1CFC6AD032D4}"/>
            </c:ext>
          </c:extLst>
        </c:ser>
        <c:dLbls>
          <c:dLblPos val="ctr"/>
          <c:showLegendKey val="0"/>
          <c:showVal val="1"/>
          <c:showCatName val="0"/>
          <c:showSerName val="0"/>
          <c:showPercent val="0"/>
          <c:showBubbleSize val="0"/>
        </c:dLbls>
        <c:marker val="1"/>
        <c:smooth val="0"/>
        <c:axId val="277476480"/>
        <c:axId val="627516608"/>
      </c:lineChart>
      <c:catAx>
        <c:axId val="277476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7516608"/>
        <c:crosses val="autoZero"/>
        <c:auto val="1"/>
        <c:lblAlgn val="ctr"/>
        <c:lblOffset val="100"/>
        <c:noMultiLvlLbl val="0"/>
      </c:catAx>
      <c:valAx>
        <c:axId val="6275166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in $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747648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a:t>
            </a:r>
            <a:r>
              <a:rPr lang="en-IN" baseline="0"/>
              <a:t> Revenues V/s Cost of revenue</a:t>
            </a:r>
            <a:endParaRPr lang="en-IN"/>
          </a:p>
        </c:rich>
      </c:tx>
      <c:layout>
        <c:manualLayout>
          <c:xMode val="edge"/>
          <c:yMode val="edge"/>
          <c:x val="0.18240053930456759"/>
          <c:y val="2.862985685071574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Qualcomm!$A$5</c:f>
              <c:strCache>
                <c:ptCount val="1"/>
                <c:pt idx="0">
                  <c:v>Total Revenues (Sales)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(Qualcomm!$F$4,Qualcomm!$E$4,Qualcomm!$D$4,Qualcomm!$C$4,Qualcomm!$B$4)</c:f>
              <c:numCache>
                <c:formatCode>General</c:formatCode>
                <c:ptCount val="5"/>
                <c:pt idx="0">
                  <c:v>2020</c:v>
                </c:pt>
                <c:pt idx="1">
                  <c:v>2021</c:v>
                </c:pt>
                <c:pt idx="2">
                  <c:v>2022</c:v>
                </c:pt>
                <c:pt idx="3">
                  <c:v>2023</c:v>
                </c:pt>
                <c:pt idx="4">
                  <c:v>2024</c:v>
                </c:pt>
              </c:numCache>
            </c:numRef>
          </c:cat>
          <c:val>
            <c:numRef>
              <c:f>(Qualcomm!$F$5,Qualcomm!$E$5,Qualcomm!$D$5,Qualcomm!$C$5,Qualcomm!$B$5)</c:f>
              <c:numCache>
                <c:formatCode>#,##0</c:formatCode>
                <c:ptCount val="5"/>
                <c:pt idx="0">
                  <c:v>23531</c:v>
                </c:pt>
                <c:pt idx="1">
                  <c:v>33566</c:v>
                </c:pt>
                <c:pt idx="2">
                  <c:v>44200</c:v>
                </c:pt>
                <c:pt idx="3">
                  <c:v>35820</c:v>
                </c:pt>
                <c:pt idx="4">
                  <c:v>38962</c:v>
                </c:pt>
              </c:numCache>
            </c:numRef>
          </c:val>
          <c:smooth val="0"/>
          <c:extLst>
            <c:ext xmlns:c16="http://schemas.microsoft.com/office/drawing/2014/chart" uri="{C3380CC4-5D6E-409C-BE32-E72D297353CC}">
              <c16:uniqueId val="{00000000-44EC-4995-9CFE-E1DD902D4BA5}"/>
            </c:ext>
          </c:extLst>
        </c:ser>
        <c:ser>
          <c:idx val="1"/>
          <c:order val="1"/>
          <c:tx>
            <c:strRef>
              <c:f>Qualcomm!$A$6</c:f>
              <c:strCache>
                <c:ptCount val="1"/>
                <c:pt idx="0">
                  <c:v>Total Cost of Revenue </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(Qualcomm!$F$4,Qualcomm!$E$4,Qualcomm!$D$4,Qualcomm!$C$4,Qualcomm!$B$4)</c:f>
              <c:numCache>
                <c:formatCode>General</c:formatCode>
                <c:ptCount val="5"/>
                <c:pt idx="0">
                  <c:v>2020</c:v>
                </c:pt>
                <c:pt idx="1">
                  <c:v>2021</c:v>
                </c:pt>
                <c:pt idx="2">
                  <c:v>2022</c:v>
                </c:pt>
                <c:pt idx="3">
                  <c:v>2023</c:v>
                </c:pt>
                <c:pt idx="4">
                  <c:v>2024</c:v>
                </c:pt>
              </c:numCache>
            </c:numRef>
          </c:cat>
          <c:val>
            <c:numRef>
              <c:f>(Qualcomm!$F$6,Qualcomm!$E$6,Qualcomm!$D$6,Qualcomm!$C$6,Qualcomm!$B$6)</c:f>
              <c:numCache>
                <c:formatCode>#,##0</c:formatCode>
                <c:ptCount val="5"/>
                <c:pt idx="0">
                  <c:v>9255</c:v>
                </c:pt>
                <c:pt idx="1">
                  <c:v>14262</c:v>
                </c:pt>
                <c:pt idx="2">
                  <c:v>18635</c:v>
                </c:pt>
                <c:pt idx="3">
                  <c:v>15869</c:v>
                </c:pt>
                <c:pt idx="4">
                  <c:v>17060</c:v>
                </c:pt>
              </c:numCache>
            </c:numRef>
          </c:val>
          <c:smooth val="0"/>
          <c:extLst>
            <c:ext xmlns:c16="http://schemas.microsoft.com/office/drawing/2014/chart" uri="{C3380CC4-5D6E-409C-BE32-E72D297353CC}">
              <c16:uniqueId val="{00000001-44EC-4995-9CFE-E1DD902D4BA5}"/>
            </c:ext>
          </c:extLst>
        </c:ser>
        <c:dLbls>
          <c:showLegendKey val="0"/>
          <c:showVal val="0"/>
          <c:showCatName val="0"/>
          <c:showSerName val="0"/>
          <c:showPercent val="0"/>
          <c:showBubbleSize val="0"/>
        </c:dLbls>
        <c:marker val="1"/>
        <c:smooth val="0"/>
        <c:axId val="1196065072"/>
        <c:axId val="1196065552"/>
      </c:lineChart>
      <c:catAx>
        <c:axId val="1196065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6065552"/>
        <c:crosses val="autoZero"/>
        <c:auto val="1"/>
        <c:lblAlgn val="ctr"/>
        <c:lblOffset val="100"/>
        <c:noMultiLvlLbl val="0"/>
      </c:catAx>
      <c:valAx>
        <c:axId val="1196065552"/>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65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52537182852143"/>
          <c:y val="0.19486111111111112"/>
          <c:w val="0.85847462817147857"/>
          <c:h val="0.72125801983085447"/>
        </c:manualLayout>
      </c:layout>
      <c:lineChart>
        <c:grouping val="standard"/>
        <c:varyColors val="0"/>
        <c:ser>
          <c:idx val="0"/>
          <c:order val="0"/>
          <c:tx>
            <c:strRef>
              <c:f>Qualcomm!$A$8</c:f>
              <c:strCache>
                <c:ptCount val="1"/>
                <c:pt idx="0">
                  <c:v>Total Operating Expenses</c:v>
                </c:pt>
              </c:strCache>
            </c:strRef>
          </c:tx>
          <c:spPr>
            <a:ln w="28575" cap="rnd">
              <a:solidFill>
                <a:schemeClr val="accent1"/>
              </a:solidFill>
              <a:round/>
            </a:ln>
            <a:effectLst/>
          </c:spPr>
          <c:marker>
            <c:symbol val="none"/>
          </c:marker>
          <c:cat>
            <c:numRef>
              <c:f>(Qualcomm!$F$4,Qualcomm!$E$4,Qualcomm!$D$4,Qualcomm!$D$4,Qualcomm!$C$4,Qualcomm!$B$4)</c:f>
              <c:numCache>
                <c:formatCode>General</c:formatCode>
                <c:ptCount val="6"/>
                <c:pt idx="0">
                  <c:v>2020</c:v>
                </c:pt>
                <c:pt idx="1">
                  <c:v>2021</c:v>
                </c:pt>
                <c:pt idx="2">
                  <c:v>2022</c:v>
                </c:pt>
                <c:pt idx="3">
                  <c:v>2022</c:v>
                </c:pt>
                <c:pt idx="4">
                  <c:v>2023</c:v>
                </c:pt>
                <c:pt idx="5">
                  <c:v>2024</c:v>
                </c:pt>
              </c:numCache>
            </c:numRef>
          </c:cat>
          <c:val>
            <c:numRef>
              <c:f>(Qualcomm!$F$8,Qualcomm!$E$8,Qualcomm!$D$8,Qualcomm!$C$8,Qualcomm!$B$8)</c:f>
              <c:numCache>
                <c:formatCode>#,##0</c:formatCode>
                <c:ptCount val="5"/>
                <c:pt idx="0">
                  <c:v>9442</c:v>
                </c:pt>
                <c:pt idx="1">
                  <c:v>11097</c:v>
                </c:pt>
                <c:pt idx="2">
                  <c:v>12526</c:v>
                </c:pt>
                <c:pt idx="3">
                  <c:v>13110</c:v>
                </c:pt>
                <c:pt idx="4">
                  <c:v>13358</c:v>
                </c:pt>
              </c:numCache>
            </c:numRef>
          </c:val>
          <c:smooth val="0"/>
          <c:extLst>
            <c:ext xmlns:c16="http://schemas.microsoft.com/office/drawing/2014/chart" uri="{C3380CC4-5D6E-409C-BE32-E72D297353CC}">
              <c16:uniqueId val="{00000000-C78A-4B8D-BD91-FF0E9AAF5446}"/>
            </c:ext>
          </c:extLst>
        </c:ser>
        <c:dLbls>
          <c:showLegendKey val="0"/>
          <c:showVal val="0"/>
          <c:showCatName val="0"/>
          <c:showSerName val="0"/>
          <c:showPercent val="0"/>
          <c:showBubbleSize val="0"/>
        </c:dLbls>
        <c:smooth val="0"/>
        <c:axId val="1195875952"/>
        <c:axId val="1195881712"/>
      </c:lineChart>
      <c:catAx>
        <c:axId val="11958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1712"/>
        <c:crosses val="autoZero"/>
        <c:auto val="1"/>
        <c:lblAlgn val="ctr"/>
        <c:lblOffset val="100"/>
        <c:noMultiLvlLbl val="0"/>
      </c:catAx>
      <c:valAx>
        <c:axId val="1195881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75952"/>
        <c:crosses val="autoZero"/>
        <c:crossBetween val="between"/>
      </c:valAx>
      <c:spPr>
        <a:noFill/>
        <a:ln>
          <a:noFill/>
        </a:ln>
        <a:effectLst/>
      </c:spPr>
    </c:plotArea>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Qualcomm!$A$31</c:f>
              <c:strCache>
                <c:ptCount val="1"/>
                <c:pt idx="0">
                  <c:v>Research and development</c:v>
                </c:pt>
              </c:strCache>
            </c:strRef>
          </c:tx>
          <c:spPr>
            <a:solidFill>
              <a:schemeClr val="accent1"/>
            </a:solidFill>
            <a:ln>
              <a:noFill/>
            </a:ln>
            <a:effectLst/>
          </c:spPr>
          <c:invertIfNegative val="0"/>
          <c:cat>
            <c:numRef>
              <c:f>(Qualcomm!$F$30,Qualcomm!$E$30,Qualcomm!$D$30,Qualcomm!$C$30,Qualcomm!$B$30)</c:f>
              <c:numCache>
                <c:formatCode>General</c:formatCode>
                <c:ptCount val="5"/>
                <c:pt idx="0">
                  <c:v>2020</c:v>
                </c:pt>
                <c:pt idx="1">
                  <c:v>2021</c:v>
                </c:pt>
                <c:pt idx="2">
                  <c:v>2022</c:v>
                </c:pt>
                <c:pt idx="3">
                  <c:v>2023</c:v>
                </c:pt>
                <c:pt idx="4">
                  <c:v>2024</c:v>
                </c:pt>
              </c:numCache>
            </c:numRef>
          </c:cat>
          <c:val>
            <c:numRef>
              <c:f>(Qualcomm!$F$31,Qualcomm!$E$31,Qualcomm!$D$31,Qualcomm!$C$31,Qualcomm!$B$31)</c:f>
              <c:numCache>
                <c:formatCode>_(* #,##0_);_(* \(#,##0\);_(* "-"??_);_(@_)</c:formatCode>
                <c:ptCount val="5"/>
                <c:pt idx="0" formatCode="#,##0">
                  <c:v>5975</c:v>
                </c:pt>
                <c:pt idx="1">
                  <c:v>7176</c:v>
                </c:pt>
                <c:pt idx="2">
                  <c:v>8194</c:v>
                </c:pt>
                <c:pt idx="3">
                  <c:v>8818</c:v>
                </c:pt>
                <c:pt idx="4">
                  <c:v>8893</c:v>
                </c:pt>
              </c:numCache>
            </c:numRef>
          </c:val>
          <c:extLst>
            <c:ext xmlns:c16="http://schemas.microsoft.com/office/drawing/2014/chart" uri="{C3380CC4-5D6E-409C-BE32-E72D297353CC}">
              <c16:uniqueId val="{00000000-3C1E-43EB-9C78-0A0D7295F1F3}"/>
            </c:ext>
          </c:extLst>
        </c:ser>
        <c:ser>
          <c:idx val="1"/>
          <c:order val="1"/>
          <c:tx>
            <c:strRef>
              <c:f>Qualcomm!$A$32</c:f>
              <c:strCache>
                <c:ptCount val="1"/>
                <c:pt idx="0">
                  <c:v>Marketing, general and administrative</c:v>
                </c:pt>
              </c:strCache>
            </c:strRef>
          </c:tx>
          <c:spPr>
            <a:solidFill>
              <a:schemeClr val="accent2"/>
            </a:solidFill>
            <a:ln>
              <a:noFill/>
            </a:ln>
            <a:effectLst/>
          </c:spPr>
          <c:invertIfNegative val="0"/>
          <c:cat>
            <c:numRef>
              <c:f>(Qualcomm!$F$30,Qualcomm!$E$30,Qualcomm!$D$30,Qualcomm!$C$30,Qualcomm!$B$30)</c:f>
              <c:numCache>
                <c:formatCode>General</c:formatCode>
                <c:ptCount val="5"/>
                <c:pt idx="0">
                  <c:v>2020</c:v>
                </c:pt>
                <c:pt idx="1">
                  <c:v>2021</c:v>
                </c:pt>
                <c:pt idx="2">
                  <c:v>2022</c:v>
                </c:pt>
                <c:pt idx="3">
                  <c:v>2023</c:v>
                </c:pt>
                <c:pt idx="4">
                  <c:v>2024</c:v>
                </c:pt>
              </c:numCache>
            </c:numRef>
          </c:cat>
          <c:val>
            <c:numRef>
              <c:f>(Qualcomm!$F$32,Qualcomm!$E$32,Qualcomm!$D$32,Qualcomm!$C$32,Qualcomm!$B$32)</c:f>
              <c:numCache>
                <c:formatCode>_(* #,##0_);_(* \(#,##0\);_(* "-"??_);_(@_)</c:formatCode>
                <c:ptCount val="5"/>
                <c:pt idx="0" formatCode="#,##0">
                  <c:v>2074</c:v>
                </c:pt>
                <c:pt idx="1">
                  <c:v>2339</c:v>
                </c:pt>
                <c:pt idx="2">
                  <c:v>2570</c:v>
                </c:pt>
                <c:pt idx="3">
                  <c:v>2483</c:v>
                </c:pt>
                <c:pt idx="4">
                  <c:v>2759</c:v>
                </c:pt>
              </c:numCache>
            </c:numRef>
          </c:val>
          <c:extLst>
            <c:ext xmlns:c16="http://schemas.microsoft.com/office/drawing/2014/chart" uri="{C3380CC4-5D6E-409C-BE32-E72D297353CC}">
              <c16:uniqueId val="{00000001-3C1E-43EB-9C78-0A0D7295F1F3}"/>
            </c:ext>
          </c:extLst>
        </c:ser>
        <c:ser>
          <c:idx val="2"/>
          <c:order val="2"/>
          <c:tx>
            <c:strRef>
              <c:f>Qualcomm!$A$33</c:f>
              <c:strCache>
                <c:ptCount val="1"/>
                <c:pt idx="0">
                  <c:v>Depreciation and amortization expense</c:v>
                </c:pt>
              </c:strCache>
            </c:strRef>
          </c:tx>
          <c:spPr>
            <a:solidFill>
              <a:schemeClr val="accent3"/>
            </a:solidFill>
            <a:ln>
              <a:noFill/>
            </a:ln>
            <a:effectLst/>
          </c:spPr>
          <c:invertIfNegative val="0"/>
          <c:cat>
            <c:numRef>
              <c:f>(Qualcomm!$F$30,Qualcomm!$E$30,Qualcomm!$D$30,Qualcomm!$C$30,Qualcomm!$B$30)</c:f>
              <c:numCache>
                <c:formatCode>General</c:formatCode>
                <c:ptCount val="5"/>
                <c:pt idx="0">
                  <c:v>2020</c:v>
                </c:pt>
                <c:pt idx="1">
                  <c:v>2021</c:v>
                </c:pt>
                <c:pt idx="2">
                  <c:v>2022</c:v>
                </c:pt>
                <c:pt idx="3">
                  <c:v>2023</c:v>
                </c:pt>
                <c:pt idx="4">
                  <c:v>2024</c:v>
                </c:pt>
              </c:numCache>
            </c:numRef>
          </c:cat>
          <c:val>
            <c:numRef>
              <c:f>(Qualcomm!$F$33,Qualcomm!$E$33,Qualcomm!$D$33,Qualcomm!$C$33,Qualcomm!$B$33)</c:f>
              <c:numCache>
                <c:formatCode>_(* #,##0_);_(* \(#,##0\);_(* "-"??_);_(@_)</c:formatCode>
                <c:ptCount val="5"/>
                <c:pt idx="0" formatCode="#,##0">
                  <c:v>1393</c:v>
                </c:pt>
                <c:pt idx="1">
                  <c:v>1582</c:v>
                </c:pt>
                <c:pt idx="2">
                  <c:v>1762</c:v>
                </c:pt>
                <c:pt idx="3">
                  <c:v>1809</c:v>
                </c:pt>
                <c:pt idx="4">
                  <c:v>1706</c:v>
                </c:pt>
              </c:numCache>
            </c:numRef>
          </c:val>
          <c:extLst>
            <c:ext xmlns:c16="http://schemas.microsoft.com/office/drawing/2014/chart" uri="{C3380CC4-5D6E-409C-BE32-E72D297353CC}">
              <c16:uniqueId val="{00000002-3C1E-43EB-9C78-0A0D7295F1F3}"/>
            </c:ext>
          </c:extLst>
        </c:ser>
        <c:dLbls>
          <c:showLegendKey val="0"/>
          <c:showVal val="0"/>
          <c:showCatName val="0"/>
          <c:showSerName val="0"/>
          <c:showPercent val="0"/>
          <c:showBubbleSize val="0"/>
        </c:dLbls>
        <c:gapWidth val="219"/>
        <c:overlap val="-27"/>
        <c:axId val="1196067952"/>
        <c:axId val="1196061232"/>
      </c:barChart>
      <c:catAx>
        <c:axId val="119606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61232"/>
        <c:crosses val="autoZero"/>
        <c:auto val="1"/>
        <c:lblAlgn val="ctr"/>
        <c:lblOffset val="100"/>
        <c:noMultiLvlLbl val="0"/>
      </c:catAx>
      <c:valAx>
        <c:axId val="1196061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6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Cash Flow</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lotArea>
      <c:layout>
        <c:manualLayout>
          <c:layoutTarget val="inner"/>
          <c:xMode val="edge"/>
          <c:yMode val="edge"/>
          <c:x val="0.10461255545304028"/>
          <c:y val="0.54186570428696412"/>
          <c:w val="0.85258380623770347"/>
          <c:h val="0.43270596383785359"/>
        </c:manualLayout>
      </c:layout>
      <c:barChart>
        <c:barDir val="col"/>
        <c:grouping val="clustered"/>
        <c:varyColors val="0"/>
        <c:ser>
          <c:idx val="0"/>
          <c:order val="0"/>
          <c:tx>
            <c:strRef>
              <c:f>Qualcomm!$A$51</c:f>
              <c:strCache>
                <c:ptCount val="1"/>
                <c:pt idx="0">
                  <c:v>Cash from Operating Activities (CFO)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(Qualcomm!$F$51,Qualcomm!$E$51,Qualcomm!$D$51,Qualcomm!$C$51,Qualcomm!$B$51)</c:f>
              <c:numCache>
                <c:formatCode>_(* #,##0_);_(* \(#,##0\);_(* "-"??_);_(@_)</c:formatCode>
                <c:ptCount val="5"/>
                <c:pt idx="0" formatCode="#,##0">
                  <c:v>5814</c:v>
                </c:pt>
                <c:pt idx="1">
                  <c:v>10536</c:v>
                </c:pt>
                <c:pt idx="2">
                  <c:v>9096</c:v>
                </c:pt>
                <c:pt idx="3">
                  <c:v>11299</c:v>
                </c:pt>
                <c:pt idx="4">
                  <c:v>12202</c:v>
                </c:pt>
              </c:numCache>
            </c:numRef>
          </c:val>
          <c:extLst>
            <c:ext xmlns:c16="http://schemas.microsoft.com/office/drawing/2014/chart" uri="{C3380CC4-5D6E-409C-BE32-E72D297353CC}">
              <c16:uniqueId val="{00000000-6C54-4C72-B631-9EE868D98F40}"/>
            </c:ext>
          </c:extLst>
        </c:ser>
        <c:ser>
          <c:idx val="1"/>
          <c:order val="1"/>
          <c:tx>
            <c:strRef>
              <c:f>Qualcomm!$A$52</c:f>
              <c:strCache>
                <c:ptCount val="1"/>
                <c:pt idx="0">
                  <c:v>Cash used in Investing Activities (CapEx/CFInv)</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(Qualcomm!$F$52,Qualcomm!$E$52,Qualcomm!$D$52,Qualcomm!$C$52,Qualcomm!$B$52)</c:f>
              <c:numCache>
                <c:formatCode>_(* #,##0_);_(* \(#,##0\);_(* "-"??_);_(@_)</c:formatCode>
                <c:ptCount val="5"/>
                <c:pt idx="0">
                  <c:v>-5263</c:v>
                </c:pt>
                <c:pt idx="1">
                  <c:v>-3356</c:v>
                </c:pt>
                <c:pt idx="2">
                  <c:v>-5804</c:v>
                </c:pt>
                <c:pt idx="3">
                  <c:v>762</c:v>
                </c:pt>
                <c:pt idx="4">
                  <c:v>-3623</c:v>
                </c:pt>
              </c:numCache>
            </c:numRef>
          </c:val>
          <c:extLst>
            <c:ext xmlns:c16="http://schemas.microsoft.com/office/drawing/2014/chart" uri="{C3380CC4-5D6E-409C-BE32-E72D297353CC}">
              <c16:uniqueId val="{00000001-6C54-4C72-B631-9EE868D98F40}"/>
            </c:ext>
          </c:extLst>
        </c:ser>
        <c:ser>
          <c:idx val="2"/>
          <c:order val="2"/>
          <c:tx>
            <c:strRef>
              <c:f>Qualcomm!$A$53</c:f>
              <c:strCache>
                <c:ptCount val="1"/>
                <c:pt idx="0">
                  <c:v>Cash used in Financing Activities</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(Qualcomm!$F$53,Qualcomm!$E$53,Qualcomm!$D$53,Qualcomm!$C$53,Qualcomm!$B$53)</c:f>
              <c:numCache>
                <c:formatCode>_(* #,##0_);_(* \(#,##0\);_(* "-"??_);_(@_)</c:formatCode>
                <c:ptCount val="5"/>
                <c:pt idx="0">
                  <c:v>-5707</c:v>
                </c:pt>
                <c:pt idx="1">
                  <c:v>-6798</c:v>
                </c:pt>
                <c:pt idx="2">
                  <c:v>-7196</c:v>
                </c:pt>
                <c:pt idx="3">
                  <c:v>-6663</c:v>
                </c:pt>
                <c:pt idx="4">
                  <c:v>-9269</c:v>
                </c:pt>
              </c:numCache>
            </c:numRef>
          </c:val>
          <c:extLst>
            <c:ext xmlns:c16="http://schemas.microsoft.com/office/drawing/2014/chart" uri="{C3380CC4-5D6E-409C-BE32-E72D297353CC}">
              <c16:uniqueId val="{00000002-6C54-4C72-B631-9EE868D98F40}"/>
            </c:ext>
          </c:extLst>
        </c:ser>
        <c:ser>
          <c:idx val="3"/>
          <c:order val="3"/>
          <c:tx>
            <c:strRef>
              <c:f>Qualcomm!$A$54</c:f>
              <c:strCache>
                <c:ptCount val="1"/>
                <c:pt idx="0">
                  <c:v>Free Cash Flow (FCF)</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(Qualcomm!$F$54,Qualcomm!$E$54,Qualcomm!$D$54,Qualcomm!$C$54,Qualcomm!$B$54)</c:f>
              <c:numCache>
                <c:formatCode>_(* #,##0_);_(* \(#,##0\);_(* "-"??_);_(@_)</c:formatCode>
                <c:ptCount val="5"/>
                <c:pt idx="0">
                  <c:v>551</c:v>
                </c:pt>
                <c:pt idx="1">
                  <c:v>7180</c:v>
                </c:pt>
                <c:pt idx="2">
                  <c:v>3292</c:v>
                </c:pt>
                <c:pt idx="3">
                  <c:v>12061</c:v>
                </c:pt>
                <c:pt idx="4">
                  <c:v>8579</c:v>
                </c:pt>
              </c:numCache>
            </c:numRef>
          </c:val>
          <c:extLst>
            <c:ext xmlns:c16="http://schemas.microsoft.com/office/drawing/2014/chart" uri="{C3380CC4-5D6E-409C-BE32-E72D297353CC}">
              <c16:uniqueId val="{00000003-6C54-4C72-B631-9EE868D98F40}"/>
            </c:ext>
          </c:extLst>
        </c:ser>
        <c:dLbls>
          <c:showLegendKey val="0"/>
          <c:showVal val="0"/>
          <c:showCatName val="0"/>
          <c:showSerName val="0"/>
          <c:showPercent val="0"/>
          <c:showBubbleSize val="0"/>
        </c:dLbls>
        <c:gapWidth val="164"/>
        <c:overlap val="-22"/>
        <c:axId val="1196003632"/>
        <c:axId val="1196004592"/>
      </c:barChart>
      <c:catAx>
        <c:axId val="11960036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04592"/>
        <c:crosses val="autoZero"/>
        <c:auto val="1"/>
        <c:lblAlgn val="ctr"/>
        <c:lblOffset val="100"/>
        <c:noMultiLvlLbl val="0"/>
      </c:catAx>
      <c:valAx>
        <c:axId val="119600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0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Qualcomm!$A$54</c:f>
              <c:strCache>
                <c:ptCount val="1"/>
                <c:pt idx="0">
                  <c:v>Free Cash Flow (FCF)</c:v>
                </c:pt>
              </c:strCache>
            </c:strRef>
          </c:tx>
          <c:spPr>
            <a:solidFill>
              <a:schemeClr val="accent1"/>
            </a:solidFill>
            <a:ln>
              <a:noFill/>
            </a:ln>
            <a:effectLst/>
          </c:spPr>
          <c:invertIfNegative val="0"/>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(Qualcomm!$F$54,Qualcomm!$E$54,Qualcomm!$D$54,Qualcomm!$C$54,Qualcomm!$B$54)</c:f>
              <c:numCache>
                <c:formatCode>_(* #,##0_);_(* \(#,##0\);_(* "-"??_);_(@_)</c:formatCode>
                <c:ptCount val="5"/>
                <c:pt idx="0">
                  <c:v>551</c:v>
                </c:pt>
                <c:pt idx="1">
                  <c:v>7180</c:v>
                </c:pt>
                <c:pt idx="2">
                  <c:v>3292</c:v>
                </c:pt>
                <c:pt idx="3">
                  <c:v>12061</c:v>
                </c:pt>
                <c:pt idx="4">
                  <c:v>8579</c:v>
                </c:pt>
              </c:numCache>
            </c:numRef>
          </c:val>
          <c:extLst>
            <c:ext xmlns:c16="http://schemas.microsoft.com/office/drawing/2014/chart" uri="{C3380CC4-5D6E-409C-BE32-E72D297353CC}">
              <c16:uniqueId val="{00000000-2ED1-44B0-93DB-DA8E7072794C}"/>
            </c:ext>
          </c:extLst>
        </c:ser>
        <c:dLbls>
          <c:showLegendKey val="0"/>
          <c:showVal val="0"/>
          <c:showCatName val="0"/>
          <c:showSerName val="0"/>
          <c:showPercent val="0"/>
          <c:showBubbleSize val="0"/>
        </c:dLbls>
        <c:gapWidth val="219"/>
        <c:overlap val="-27"/>
        <c:axId val="1196077552"/>
        <c:axId val="1196078032"/>
      </c:barChart>
      <c:catAx>
        <c:axId val="11960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78032"/>
        <c:crosses val="autoZero"/>
        <c:auto val="1"/>
        <c:lblAlgn val="ctr"/>
        <c:lblOffset val="100"/>
        <c:noMultiLvlLbl val="0"/>
      </c:catAx>
      <c:valAx>
        <c:axId val="11960780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77552"/>
        <c:crosses val="autoZero"/>
        <c:crossBetween val="between"/>
      </c:valAx>
      <c:spPr>
        <a:noFill/>
        <a:ln>
          <a:noFill/>
        </a:ln>
        <a:effectLst/>
      </c:spPr>
    </c:plotArea>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on Year</a:t>
            </a:r>
            <a:r>
              <a:rPr lang="en-IN" baseline="0"/>
              <a:t> Growth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9.0358923884514442E-2"/>
          <c:y val="0.17634259259259263"/>
          <c:w val="0.87630774278215218"/>
          <c:h val="0.52215113735783025"/>
        </c:manualLayout>
      </c:layout>
      <c:lineChart>
        <c:grouping val="standard"/>
        <c:varyColors val="0"/>
        <c:ser>
          <c:idx val="0"/>
          <c:order val="0"/>
          <c:tx>
            <c:strRef>
              <c:f>Qualcomm!$A$22</c:f>
              <c:strCache>
                <c:ptCount val="1"/>
                <c:pt idx="0">
                  <c:v>Total Revenues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(Qualcomm!$E$21,Qualcomm!$D$21,Qualcomm!$C$21,Qualcomm!$B$21)</c:f>
              <c:strCache>
                <c:ptCount val="4"/>
                <c:pt idx="0">
                  <c:v>2021/20</c:v>
                </c:pt>
                <c:pt idx="1">
                  <c:v>2022/21</c:v>
                </c:pt>
                <c:pt idx="2">
                  <c:v>2023/22</c:v>
                </c:pt>
                <c:pt idx="3">
                  <c:v> 2024/23</c:v>
                </c:pt>
              </c:strCache>
            </c:strRef>
          </c:cat>
          <c:val>
            <c:numRef>
              <c:f>(Qualcomm!$E$22,Qualcomm!$D$22,Qualcomm!$C$22,Qualcomm!$B$22)</c:f>
              <c:numCache>
                <c:formatCode>0%</c:formatCode>
                <c:ptCount val="4"/>
                <c:pt idx="0">
                  <c:v>0.42645871403680252</c:v>
                </c:pt>
                <c:pt idx="1">
                  <c:v>0.31680867544539115</c:v>
                </c:pt>
                <c:pt idx="2">
                  <c:v>-0.18959276018099547</c:v>
                </c:pt>
                <c:pt idx="3">
                  <c:v>8.7716359575656058E-2</c:v>
                </c:pt>
              </c:numCache>
            </c:numRef>
          </c:val>
          <c:smooth val="0"/>
          <c:extLst>
            <c:ext xmlns:c16="http://schemas.microsoft.com/office/drawing/2014/chart" uri="{C3380CC4-5D6E-409C-BE32-E72D297353CC}">
              <c16:uniqueId val="{00000000-0289-4DE1-BBC1-A7795FCE64C8}"/>
            </c:ext>
          </c:extLst>
        </c:ser>
        <c:ser>
          <c:idx val="1"/>
          <c:order val="1"/>
          <c:tx>
            <c:strRef>
              <c:f>Qualcomm!$A$23</c:f>
              <c:strCache>
                <c:ptCount val="1"/>
                <c:pt idx="0">
                  <c:v>Total Cost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(Qualcomm!$E$21,Qualcomm!$D$21,Qualcomm!$C$21,Qualcomm!$B$21)</c:f>
              <c:strCache>
                <c:ptCount val="4"/>
                <c:pt idx="0">
                  <c:v>2021/20</c:v>
                </c:pt>
                <c:pt idx="1">
                  <c:v>2022/21</c:v>
                </c:pt>
                <c:pt idx="2">
                  <c:v>2023/22</c:v>
                </c:pt>
                <c:pt idx="3">
                  <c:v> 2024/23</c:v>
                </c:pt>
              </c:strCache>
            </c:strRef>
          </c:cat>
          <c:val>
            <c:numRef>
              <c:f>(Qualcomm!$E$23,Qualcomm!$D$23,Qualcomm!$C$23,Qualcomm!$B$23)</c:f>
              <c:numCache>
                <c:formatCode>0%</c:formatCode>
                <c:ptCount val="4"/>
                <c:pt idx="0">
                  <c:v>0.5410048622366288</c:v>
                </c:pt>
                <c:pt idx="1">
                  <c:v>0.30661898751928202</c:v>
                </c:pt>
                <c:pt idx="2">
                  <c:v>-0.14843037295411859</c:v>
                </c:pt>
                <c:pt idx="3">
                  <c:v>7.5051988153002708E-2</c:v>
                </c:pt>
              </c:numCache>
            </c:numRef>
          </c:val>
          <c:smooth val="0"/>
          <c:extLst>
            <c:ext xmlns:c16="http://schemas.microsoft.com/office/drawing/2014/chart" uri="{C3380CC4-5D6E-409C-BE32-E72D297353CC}">
              <c16:uniqueId val="{00000001-0289-4DE1-BBC1-A7795FCE64C8}"/>
            </c:ext>
          </c:extLst>
        </c:ser>
        <c:ser>
          <c:idx val="2"/>
          <c:order val="2"/>
          <c:tx>
            <c:strRef>
              <c:f>Qualcomm!$A$24</c:f>
              <c:strCache>
                <c:ptCount val="1"/>
                <c:pt idx="0">
                  <c:v>Total Operating Expenses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(Qualcomm!$E$21,Qualcomm!$D$21,Qualcomm!$C$21,Qualcomm!$B$21)</c:f>
              <c:strCache>
                <c:ptCount val="4"/>
                <c:pt idx="0">
                  <c:v>2021/20</c:v>
                </c:pt>
                <c:pt idx="1">
                  <c:v>2022/21</c:v>
                </c:pt>
                <c:pt idx="2">
                  <c:v>2023/22</c:v>
                </c:pt>
                <c:pt idx="3">
                  <c:v> 2024/23</c:v>
                </c:pt>
              </c:strCache>
            </c:strRef>
          </c:cat>
          <c:val>
            <c:numRef>
              <c:f>(Qualcomm!$E$24,Qualcomm!$D$24,Qualcomm!$C$24,Qualcomm!$B$24)</c:f>
              <c:numCache>
                <c:formatCode>0%</c:formatCode>
                <c:ptCount val="4"/>
                <c:pt idx="0">
                  <c:v>0.17528066087693286</c:v>
                </c:pt>
                <c:pt idx="1">
                  <c:v>0.12877354239884653</c:v>
                </c:pt>
                <c:pt idx="2">
                  <c:v>4.6623024109851509E-2</c:v>
                </c:pt>
                <c:pt idx="3">
                  <c:v>1.8916857360793286E-2</c:v>
                </c:pt>
              </c:numCache>
            </c:numRef>
          </c:val>
          <c:smooth val="0"/>
          <c:extLst>
            <c:ext xmlns:c16="http://schemas.microsoft.com/office/drawing/2014/chart" uri="{C3380CC4-5D6E-409C-BE32-E72D297353CC}">
              <c16:uniqueId val="{00000002-0289-4DE1-BBC1-A7795FCE64C8}"/>
            </c:ext>
          </c:extLst>
        </c:ser>
        <c:ser>
          <c:idx val="3"/>
          <c:order val="3"/>
          <c:tx>
            <c:strRef>
              <c:f>Qualcomm!$A$25</c:f>
              <c:strCache>
                <c:ptCount val="1"/>
                <c:pt idx="0">
                  <c:v>Gross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(Qualcomm!$E$21,Qualcomm!$D$21,Qualcomm!$C$21,Qualcomm!$B$21)</c:f>
              <c:strCache>
                <c:ptCount val="4"/>
                <c:pt idx="0">
                  <c:v>2021/20</c:v>
                </c:pt>
                <c:pt idx="1">
                  <c:v>2022/21</c:v>
                </c:pt>
                <c:pt idx="2">
                  <c:v>2023/22</c:v>
                </c:pt>
                <c:pt idx="3">
                  <c:v> 2024/23</c:v>
                </c:pt>
              </c:strCache>
            </c:strRef>
          </c:cat>
          <c:val>
            <c:numRef>
              <c:f>(Qualcomm!$E$25,Qualcomm!$D$25,Qualcomm!$C$25,Qualcomm!$B$25)</c:f>
              <c:numCache>
                <c:formatCode>0%</c:formatCode>
                <c:ptCount val="4"/>
                <c:pt idx="0">
                  <c:v>0.35219949565704678</c:v>
                </c:pt>
                <c:pt idx="1">
                  <c:v>0.32433692498963945</c:v>
                </c:pt>
                <c:pt idx="2">
                  <c:v>-0.21959710541756308</c:v>
                </c:pt>
                <c:pt idx="3">
                  <c:v>9.7789584481980857E-2</c:v>
                </c:pt>
              </c:numCache>
            </c:numRef>
          </c:val>
          <c:smooth val="0"/>
          <c:extLst>
            <c:ext xmlns:c16="http://schemas.microsoft.com/office/drawing/2014/chart" uri="{C3380CC4-5D6E-409C-BE32-E72D297353CC}">
              <c16:uniqueId val="{00000003-0289-4DE1-BBC1-A7795FCE64C8}"/>
            </c:ext>
          </c:extLst>
        </c:ser>
        <c:ser>
          <c:idx val="4"/>
          <c:order val="4"/>
          <c:tx>
            <c:strRef>
              <c:f>Qualcomm!$A$26</c:f>
              <c:strCache>
                <c:ptCount val="1"/>
                <c:pt idx="0">
                  <c:v>Operating Profit (Loss) (EBIT)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(Qualcomm!$E$21,Qualcomm!$D$21,Qualcomm!$C$21,Qualcomm!$B$21)</c:f>
              <c:strCache>
                <c:ptCount val="4"/>
                <c:pt idx="0">
                  <c:v>2021/20</c:v>
                </c:pt>
                <c:pt idx="1">
                  <c:v>2022/21</c:v>
                </c:pt>
                <c:pt idx="2">
                  <c:v>2023/22</c:v>
                </c:pt>
                <c:pt idx="3">
                  <c:v> 2024/23</c:v>
                </c:pt>
              </c:strCache>
            </c:strRef>
          </c:cat>
          <c:val>
            <c:numRef>
              <c:f>(Qualcomm!$E$26,Qualcomm!$D$26,Qualcomm!$C$26,Qualcomm!$B$26)</c:f>
              <c:numCache>
                <c:formatCode>0%</c:formatCode>
                <c:ptCount val="4"/>
                <c:pt idx="0">
                  <c:v>0.6977658254033926</c:v>
                </c:pt>
                <c:pt idx="1">
                  <c:v>0.58876568782746441</c:v>
                </c:pt>
                <c:pt idx="2">
                  <c:v>-0.47534320116573359</c:v>
                </c:pt>
                <c:pt idx="3">
                  <c:v>0.24894021341909078</c:v>
                </c:pt>
              </c:numCache>
            </c:numRef>
          </c:val>
          <c:smooth val="0"/>
          <c:extLst>
            <c:ext xmlns:c16="http://schemas.microsoft.com/office/drawing/2014/chart" uri="{C3380CC4-5D6E-409C-BE32-E72D297353CC}">
              <c16:uniqueId val="{00000004-0289-4DE1-BBC1-A7795FCE64C8}"/>
            </c:ext>
          </c:extLst>
        </c:ser>
        <c:ser>
          <c:idx val="5"/>
          <c:order val="5"/>
          <c:tx>
            <c:strRef>
              <c:f>Qualcomm!$A$27</c:f>
              <c:strCache>
                <c:ptCount val="1"/>
                <c:pt idx="0">
                  <c:v>Net Income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(Qualcomm!$E$21,Qualcomm!$D$21,Qualcomm!$C$21,Qualcomm!$B$21)</c:f>
              <c:strCache>
                <c:ptCount val="4"/>
                <c:pt idx="0">
                  <c:v>2021/20</c:v>
                </c:pt>
                <c:pt idx="1">
                  <c:v>2022/21</c:v>
                </c:pt>
                <c:pt idx="2">
                  <c:v>2023/22</c:v>
                </c:pt>
                <c:pt idx="3">
                  <c:v> 2024/23</c:v>
                </c:pt>
              </c:strCache>
            </c:strRef>
          </c:cat>
          <c:val>
            <c:numRef>
              <c:f>(Qualcomm!$E$27,Qualcomm!$D$27,Qualcomm!$C$27,Qualcomm!$B$27)</c:f>
              <c:numCache>
                <c:formatCode>0%</c:formatCode>
                <c:ptCount val="4"/>
                <c:pt idx="0">
                  <c:v>0.73970757983839941</c:v>
                </c:pt>
                <c:pt idx="1">
                  <c:v>0.43049872829813113</c:v>
                </c:pt>
                <c:pt idx="2">
                  <c:v>-0.44094001236858382</c:v>
                </c:pt>
                <c:pt idx="3">
                  <c:v>0.4023783185840708</c:v>
                </c:pt>
              </c:numCache>
            </c:numRef>
          </c:val>
          <c:smooth val="0"/>
          <c:extLst>
            <c:ext xmlns:c16="http://schemas.microsoft.com/office/drawing/2014/chart" uri="{C3380CC4-5D6E-409C-BE32-E72D297353CC}">
              <c16:uniqueId val="{00000005-0289-4DE1-BBC1-A7795FCE64C8}"/>
            </c:ext>
          </c:extLst>
        </c:ser>
        <c:dLbls>
          <c:showLegendKey val="0"/>
          <c:showVal val="0"/>
          <c:showCatName val="0"/>
          <c:showSerName val="0"/>
          <c:showPercent val="0"/>
          <c:showBubbleSize val="0"/>
        </c:dLbls>
        <c:marker val="1"/>
        <c:smooth val="0"/>
        <c:axId val="1194548319"/>
        <c:axId val="1194554559"/>
      </c:lineChart>
      <c:catAx>
        <c:axId val="119454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54559"/>
        <c:crosses val="autoZero"/>
        <c:auto val="1"/>
        <c:lblAlgn val="ctr"/>
        <c:lblOffset val="100"/>
        <c:noMultiLvlLbl val="0"/>
      </c:catAx>
      <c:valAx>
        <c:axId val="1194554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48319"/>
        <c:crosses val="autoZero"/>
        <c:crossBetween val="between"/>
      </c:valAx>
      <c:spPr>
        <a:noFill/>
        <a:ln>
          <a:noFill/>
        </a:ln>
        <a:effectLst/>
      </c:spPr>
    </c:plotArea>
    <c:legend>
      <c:legendPos val="b"/>
      <c:layout>
        <c:manualLayout>
          <c:xMode val="edge"/>
          <c:yMode val="edge"/>
          <c:x val="0.1304562554680665"/>
          <c:y val="0.74941965587634884"/>
          <c:w val="0.70575415573053368"/>
          <c:h val="0.2274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Qualcomm!$A$10</c:f>
              <c:strCache>
                <c:ptCount val="1"/>
                <c:pt idx="0">
                  <c:v>Operating Margin</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(Qualcomm!$F$4,Qualcomm!$E$4,Qualcomm!$D$4,Qualcomm!$C$4,Qualcomm!$B$4)</c:f>
              <c:numCache>
                <c:formatCode>General</c:formatCode>
                <c:ptCount val="5"/>
                <c:pt idx="0">
                  <c:v>2020</c:v>
                </c:pt>
                <c:pt idx="1">
                  <c:v>2021</c:v>
                </c:pt>
                <c:pt idx="2">
                  <c:v>2022</c:v>
                </c:pt>
                <c:pt idx="3">
                  <c:v>2023</c:v>
                </c:pt>
                <c:pt idx="4">
                  <c:v>2024</c:v>
                </c:pt>
              </c:numCache>
            </c:numRef>
          </c:cat>
          <c:val>
            <c:numRef>
              <c:f>(Qualcomm!$F$10,Qualcomm!$E$10,Qualcomm!$D$10,Qualcomm!$C$10,Qualcomm!$B$10)</c:f>
              <c:numCache>
                <c:formatCode>0%</c:formatCode>
                <c:ptCount val="5"/>
                <c:pt idx="0">
                  <c:v>0.20543113339849561</c:v>
                </c:pt>
                <c:pt idx="1">
                  <c:v>0.24450336650181731</c:v>
                </c:pt>
                <c:pt idx="2">
                  <c:v>0.29499999999999998</c:v>
                </c:pt>
                <c:pt idx="3">
                  <c:v>0.19098269123394751</c:v>
                </c:pt>
                <c:pt idx="4">
                  <c:v>0.21929059083209282</c:v>
                </c:pt>
              </c:numCache>
            </c:numRef>
          </c:val>
          <c:smooth val="0"/>
          <c:extLst>
            <c:ext xmlns:c16="http://schemas.microsoft.com/office/drawing/2014/chart" uri="{C3380CC4-5D6E-409C-BE32-E72D297353CC}">
              <c16:uniqueId val="{00000000-AFEE-4588-98C9-FE6C5B8A52D2}"/>
            </c:ext>
          </c:extLst>
        </c:ser>
        <c:dLbls>
          <c:showLegendKey val="0"/>
          <c:showVal val="0"/>
          <c:showCatName val="0"/>
          <c:showSerName val="0"/>
          <c:showPercent val="0"/>
          <c:showBubbleSize val="0"/>
        </c:dLbls>
        <c:marker val="1"/>
        <c:smooth val="0"/>
        <c:axId val="1846916592"/>
        <c:axId val="1846922352"/>
      </c:lineChart>
      <c:catAx>
        <c:axId val="184691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46922352"/>
        <c:crosses val="autoZero"/>
        <c:auto val="1"/>
        <c:lblAlgn val="ctr"/>
        <c:lblOffset val="100"/>
        <c:noMultiLvlLbl val="0"/>
      </c:catAx>
      <c:valAx>
        <c:axId val="1846922352"/>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16592"/>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Qualcomm!$A$15</c:f>
              <c:strCache>
                <c:ptCount val="1"/>
                <c:pt idx="0">
                  <c:v>Net Profit Margin</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(Qualcomm!$F$4,Qualcomm!$E$4,Qualcomm!$D$4,Qualcomm!$C$4,Qualcomm!$B$4)</c:f>
              <c:numCache>
                <c:formatCode>General</c:formatCode>
                <c:ptCount val="5"/>
                <c:pt idx="0">
                  <c:v>2020</c:v>
                </c:pt>
                <c:pt idx="1">
                  <c:v>2021</c:v>
                </c:pt>
                <c:pt idx="2">
                  <c:v>2022</c:v>
                </c:pt>
                <c:pt idx="3">
                  <c:v>2023</c:v>
                </c:pt>
                <c:pt idx="4">
                  <c:v>2024</c:v>
                </c:pt>
              </c:numCache>
            </c:numRef>
          </c:cat>
          <c:val>
            <c:numRef>
              <c:f>(Qualcomm!$F$15,Qualcomm!$E$15,Qualcomm!$D$15,Qualcomm!$C$15,Qualcomm!$B$15)</c:f>
              <c:numCache>
                <c:formatCode>0%</c:formatCode>
                <c:ptCount val="5"/>
                <c:pt idx="0">
                  <c:v>0.23</c:v>
                </c:pt>
                <c:pt idx="1">
                  <c:v>0.27</c:v>
                </c:pt>
                <c:pt idx="2">
                  <c:v>0.28999999999999998</c:v>
                </c:pt>
                <c:pt idx="3">
                  <c:v>0.2</c:v>
                </c:pt>
                <c:pt idx="4">
                  <c:v>0.26</c:v>
                </c:pt>
              </c:numCache>
            </c:numRef>
          </c:val>
          <c:smooth val="0"/>
          <c:extLst>
            <c:ext xmlns:c16="http://schemas.microsoft.com/office/drawing/2014/chart" uri="{C3380CC4-5D6E-409C-BE32-E72D297353CC}">
              <c16:uniqueId val="{00000000-390B-44B4-85FE-0911F9A951DB}"/>
            </c:ext>
          </c:extLst>
        </c:ser>
        <c:dLbls>
          <c:showLegendKey val="0"/>
          <c:showVal val="0"/>
          <c:showCatName val="0"/>
          <c:showSerName val="0"/>
          <c:showPercent val="0"/>
          <c:showBubbleSize val="0"/>
        </c:dLbls>
        <c:marker val="1"/>
        <c:smooth val="0"/>
        <c:axId val="1376392336"/>
        <c:axId val="1376392816"/>
      </c:lineChart>
      <c:catAx>
        <c:axId val="137639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6392816"/>
        <c:crosses val="autoZero"/>
        <c:auto val="1"/>
        <c:lblAlgn val="ctr"/>
        <c:lblOffset val="100"/>
        <c:noMultiLvlLbl val="0"/>
      </c:catAx>
      <c:valAx>
        <c:axId val="1376392816"/>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92336"/>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Segmented Revenue</a:t>
            </a:r>
            <a:r>
              <a:rPr lang="en-IN" baseline="0"/>
              <a:t> Graph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Qualcomm!$A$59</c:f>
              <c:strCache>
                <c:ptCount val="1"/>
                <c:pt idx="0">
                  <c:v>Handsets</c:v>
                </c:pt>
              </c:strCache>
            </c:strRef>
          </c:tx>
          <c:spPr>
            <a:solidFill>
              <a:schemeClr val="accent1"/>
            </a:solidFill>
            <a:ln>
              <a:noFill/>
            </a:ln>
            <a:effectLst/>
          </c:spPr>
          <c:invertIfNegative val="0"/>
          <c:cat>
            <c:numRef>
              <c:f>(Qualcomm!$F$57,Qualcomm!$E$57,Qualcomm!$D$57,Qualcomm!$C$57,Qualcomm!$B$57)</c:f>
              <c:numCache>
                <c:formatCode>General</c:formatCode>
                <c:ptCount val="5"/>
                <c:pt idx="0">
                  <c:v>2020</c:v>
                </c:pt>
                <c:pt idx="1">
                  <c:v>2021</c:v>
                </c:pt>
                <c:pt idx="2">
                  <c:v>2022</c:v>
                </c:pt>
                <c:pt idx="3">
                  <c:v>2023</c:v>
                </c:pt>
                <c:pt idx="4">
                  <c:v>2024</c:v>
                </c:pt>
              </c:numCache>
            </c:numRef>
          </c:cat>
          <c:val>
            <c:numRef>
              <c:f>(Qualcomm!$F$59,Qualcomm!$E$59,Qualcomm!$D$59,Qualcomm!$C$59,Qualcomm!$B$59)</c:f>
              <c:numCache>
                <c:formatCode>#,##0</c:formatCode>
                <c:ptCount val="5"/>
                <c:pt idx="0">
                  <c:v>12823</c:v>
                </c:pt>
                <c:pt idx="1">
                  <c:v>20988</c:v>
                </c:pt>
                <c:pt idx="2">
                  <c:v>28815</c:v>
                </c:pt>
                <c:pt idx="3">
                  <c:v>22570</c:v>
                </c:pt>
                <c:pt idx="4">
                  <c:v>24863</c:v>
                </c:pt>
              </c:numCache>
            </c:numRef>
          </c:val>
          <c:extLst>
            <c:ext xmlns:c16="http://schemas.microsoft.com/office/drawing/2014/chart" uri="{C3380CC4-5D6E-409C-BE32-E72D297353CC}">
              <c16:uniqueId val="{00000000-78C6-42F3-96E2-CDD218D89235}"/>
            </c:ext>
          </c:extLst>
        </c:ser>
        <c:ser>
          <c:idx val="1"/>
          <c:order val="1"/>
          <c:tx>
            <c:strRef>
              <c:f>Qualcomm!$A$60</c:f>
              <c:strCache>
                <c:ptCount val="1"/>
                <c:pt idx="0">
                  <c:v>IoT (internet of things)</c:v>
                </c:pt>
              </c:strCache>
            </c:strRef>
          </c:tx>
          <c:spPr>
            <a:solidFill>
              <a:schemeClr val="accent2"/>
            </a:solidFill>
            <a:ln>
              <a:noFill/>
            </a:ln>
            <a:effectLst/>
          </c:spPr>
          <c:invertIfNegative val="0"/>
          <c:cat>
            <c:numRef>
              <c:f>(Qualcomm!$F$57,Qualcomm!$E$57,Qualcomm!$D$57,Qualcomm!$C$57,Qualcomm!$B$57)</c:f>
              <c:numCache>
                <c:formatCode>General</c:formatCode>
                <c:ptCount val="5"/>
                <c:pt idx="0">
                  <c:v>2020</c:v>
                </c:pt>
                <c:pt idx="1">
                  <c:v>2021</c:v>
                </c:pt>
                <c:pt idx="2">
                  <c:v>2022</c:v>
                </c:pt>
                <c:pt idx="3">
                  <c:v>2023</c:v>
                </c:pt>
                <c:pt idx="4">
                  <c:v>2024</c:v>
                </c:pt>
              </c:numCache>
            </c:numRef>
          </c:cat>
          <c:val>
            <c:numRef>
              <c:f>(Qualcomm!$F$60,Qualcomm!$E$60,Qualcomm!$D$60,Qualcomm!$C$60,Qualcomm!$B$60)</c:f>
              <c:numCache>
                <c:formatCode>#,##0</c:formatCode>
                <c:ptCount val="5"/>
                <c:pt idx="0">
                  <c:v>3026</c:v>
                </c:pt>
                <c:pt idx="1">
                  <c:v>5056</c:v>
                </c:pt>
                <c:pt idx="2">
                  <c:v>7353</c:v>
                </c:pt>
                <c:pt idx="3">
                  <c:v>5940</c:v>
                </c:pt>
                <c:pt idx="4">
                  <c:v>5423</c:v>
                </c:pt>
              </c:numCache>
            </c:numRef>
          </c:val>
          <c:extLst>
            <c:ext xmlns:c16="http://schemas.microsoft.com/office/drawing/2014/chart" uri="{C3380CC4-5D6E-409C-BE32-E72D297353CC}">
              <c16:uniqueId val="{00000001-78C6-42F3-96E2-CDD218D89235}"/>
            </c:ext>
          </c:extLst>
        </c:ser>
        <c:ser>
          <c:idx val="2"/>
          <c:order val="2"/>
          <c:tx>
            <c:strRef>
              <c:f>Qualcomm!$A$61</c:f>
              <c:strCache>
                <c:ptCount val="1"/>
                <c:pt idx="0">
                  <c:v>Automotive</c:v>
                </c:pt>
              </c:strCache>
            </c:strRef>
          </c:tx>
          <c:spPr>
            <a:solidFill>
              <a:schemeClr val="accent3"/>
            </a:solidFill>
            <a:ln>
              <a:noFill/>
            </a:ln>
            <a:effectLst/>
          </c:spPr>
          <c:invertIfNegative val="0"/>
          <c:cat>
            <c:numRef>
              <c:f>(Qualcomm!$F$57,Qualcomm!$E$57,Qualcomm!$D$57,Qualcomm!$C$57,Qualcomm!$B$57)</c:f>
              <c:numCache>
                <c:formatCode>General</c:formatCode>
                <c:ptCount val="5"/>
                <c:pt idx="0">
                  <c:v>2020</c:v>
                </c:pt>
                <c:pt idx="1">
                  <c:v>2021</c:v>
                </c:pt>
                <c:pt idx="2">
                  <c:v>2022</c:v>
                </c:pt>
                <c:pt idx="3">
                  <c:v>2023</c:v>
                </c:pt>
                <c:pt idx="4">
                  <c:v>2024</c:v>
                </c:pt>
              </c:numCache>
            </c:numRef>
          </c:cat>
          <c:val>
            <c:numRef>
              <c:f>(Qualcomm!$F$61,Qualcomm!$E$61,Qualcomm!$D$61,Qualcomm!$C$61,Qualcomm!$B$61)</c:f>
              <c:numCache>
                <c:formatCode>General</c:formatCode>
                <c:ptCount val="5"/>
                <c:pt idx="0">
                  <c:v>644</c:v>
                </c:pt>
                <c:pt idx="1">
                  <c:v>975</c:v>
                </c:pt>
                <c:pt idx="2" formatCode="#,##0">
                  <c:v>1509</c:v>
                </c:pt>
                <c:pt idx="3" formatCode="#,##0">
                  <c:v>1872</c:v>
                </c:pt>
                <c:pt idx="4" formatCode="#,##0">
                  <c:v>2910</c:v>
                </c:pt>
              </c:numCache>
            </c:numRef>
          </c:val>
          <c:extLst>
            <c:ext xmlns:c16="http://schemas.microsoft.com/office/drawing/2014/chart" uri="{C3380CC4-5D6E-409C-BE32-E72D297353CC}">
              <c16:uniqueId val="{00000002-78C6-42F3-96E2-CDD218D89235}"/>
            </c:ext>
          </c:extLst>
        </c:ser>
        <c:ser>
          <c:idx val="3"/>
          <c:order val="3"/>
          <c:tx>
            <c:strRef>
              <c:f>Qualcomm!$A$65</c:f>
              <c:strCache>
                <c:ptCount val="1"/>
                <c:pt idx="0">
                  <c:v>Total Licensing revenues</c:v>
                </c:pt>
              </c:strCache>
            </c:strRef>
          </c:tx>
          <c:spPr>
            <a:solidFill>
              <a:schemeClr val="accent4"/>
            </a:solidFill>
            <a:ln>
              <a:noFill/>
            </a:ln>
            <a:effectLst/>
          </c:spPr>
          <c:invertIfNegative val="0"/>
          <c:cat>
            <c:numRef>
              <c:f>(Qualcomm!$F$57,Qualcomm!$E$57,Qualcomm!$D$57,Qualcomm!$C$57,Qualcomm!$B$57)</c:f>
              <c:numCache>
                <c:formatCode>General</c:formatCode>
                <c:ptCount val="5"/>
                <c:pt idx="0">
                  <c:v>2020</c:v>
                </c:pt>
                <c:pt idx="1">
                  <c:v>2021</c:v>
                </c:pt>
                <c:pt idx="2">
                  <c:v>2022</c:v>
                </c:pt>
                <c:pt idx="3">
                  <c:v>2023</c:v>
                </c:pt>
                <c:pt idx="4">
                  <c:v>2024</c:v>
                </c:pt>
              </c:numCache>
            </c:numRef>
          </c:cat>
          <c:val>
            <c:numRef>
              <c:f>(Qualcomm!$F$65,Qualcomm!$E$65,Qualcomm!$D$65,Qualcomm!$C$65,Qualcomm!$B$65)</c:f>
              <c:numCache>
                <c:formatCode>#,##0</c:formatCode>
                <c:ptCount val="5"/>
                <c:pt idx="0">
                  <c:v>5028</c:v>
                </c:pt>
                <c:pt idx="1">
                  <c:v>6320</c:v>
                </c:pt>
                <c:pt idx="2">
                  <c:v>6358</c:v>
                </c:pt>
                <c:pt idx="3">
                  <c:v>5306</c:v>
                </c:pt>
                <c:pt idx="4">
                  <c:v>5572</c:v>
                </c:pt>
              </c:numCache>
            </c:numRef>
          </c:val>
          <c:extLst>
            <c:ext xmlns:c16="http://schemas.microsoft.com/office/drawing/2014/chart" uri="{C3380CC4-5D6E-409C-BE32-E72D297353CC}">
              <c16:uniqueId val="{00000003-78C6-42F3-96E2-CDD218D89235}"/>
            </c:ext>
          </c:extLst>
        </c:ser>
        <c:ser>
          <c:idx val="4"/>
          <c:order val="4"/>
          <c:tx>
            <c:strRef>
              <c:f>Qualcomm!$A$68</c:f>
              <c:strCache>
                <c:ptCount val="1"/>
                <c:pt idx="0">
                  <c:v>Equipment and services revenues</c:v>
                </c:pt>
              </c:strCache>
            </c:strRef>
          </c:tx>
          <c:spPr>
            <a:solidFill>
              <a:schemeClr val="accent5"/>
            </a:solidFill>
            <a:ln>
              <a:noFill/>
            </a:ln>
            <a:effectLst/>
          </c:spPr>
          <c:invertIfNegative val="0"/>
          <c:cat>
            <c:numRef>
              <c:f>(Qualcomm!$F$57,Qualcomm!$E$57,Qualcomm!$D$57,Qualcomm!$C$57,Qualcomm!$B$57)</c:f>
              <c:numCache>
                <c:formatCode>General</c:formatCode>
                <c:ptCount val="5"/>
                <c:pt idx="0">
                  <c:v>2020</c:v>
                </c:pt>
                <c:pt idx="1">
                  <c:v>2021</c:v>
                </c:pt>
                <c:pt idx="2">
                  <c:v>2022</c:v>
                </c:pt>
                <c:pt idx="3">
                  <c:v>2023</c:v>
                </c:pt>
                <c:pt idx="4">
                  <c:v>2024</c:v>
                </c:pt>
              </c:numCache>
            </c:numRef>
          </c:cat>
          <c:val>
            <c:numRef>
              <c:f>(Qualcomm!$F$68,Qualcomm!$E$68,Qualcomm!$D$68,Qualcomm!$C$68,Qualcomm!$B$68)</c:f>
              <c:numCache>
                <c:formatCode>General</c:formatCode>
                <c:ptCount val="5"/>
                <c:pt idx="0">
                  <c:v>36</c:v>
                </c:pt>
                <c:pt idx="1">
                  <c:v>45</c:v>
                </c:pt>
                <c:pt idx="2">
                  <c:v>31</c:v>
                </c:pt>
                <c:pt idx="3">
                  <c:v>28</c:v>
                </c:pt>
                <c:pt idx="4">
                  <c:v>18</c:v>
                </c:pt>
              </c:numCache>
            </c:numRef>
          </c:val>
          <c:extLst>
            <c:ext xmlns:c16="http://schemas.microsoft.com/office/drawing/2014/chart" uri="{C3380CC4-5D6E-409C-BE32-E72D297353CC}">
              <c16:uniqueId val="{00000004-78C6-42F3-96E2-CDD218D89235}"/>
            </c:ext>
          </c:extLst>
        </c:ser>
        <c:dLbls>
          <c:showLegendKey val="0"/>
          <c:showVal val="0"/>
          <c:showCatName val="0"/>
          <c:showSerName val="0"/>
          <c:showPercent val="0"/>
          <c:showBubbleSize val="0"/>
        </c:dLbls>
        <c:gapWidth val="219"/>
        <c:overlap val="-27"/>
        <c:axId val="1126427360"/>
        <c:axId val="1126432160"/>
        <c:extLst>
          <c:ext xmlns:c15="http://schemas.microsoft.com/office/drawing/2012/chart" uri="{02D57815-91ED-43cb-92C2-25804820EDAC}">
            <c15:filteredBarSeries>
              <c15:ser>
                <c:idx val="5"/>
                <c:order val="5"/>
                <c:spPr>
                  <a:solidFill>
                    <a:schemeClr val="accent6"/>
                  </a:solidFill>
                  <a:ln>
                    <a:noFill/>
                  </a:ln>
                  <a:effectLst/>
                </c:spPr>
                <c:invertIfNegative val="0"/>
                <c:cat>
                  <c:numRef>
                    <c:extLst>
                      <c:ext uri="{02D57815-91ED-43cb-92C2-25804820EDAC}">
                        <c15:formulaRef>
                          <c15:sqref>(Qualcomm!$F$57,Qualcomm!$E$57,Qualcomm!$D$57,Qualcomm!$C$57,Qualcomm!$B$57)</c15:sqref>
                        </c15:formulaRef>
                      </c:ext>
                    </c:extLst>
                    <c:numCache>
                      <c:formatCode>General</c:formatCode>
                      <c:ptCount val="5"/>
                      <c:pt idx="0">
                        <c:v>2020</c:v>
                      </c:pt>
                      <c:pt idx="1">
                        <c:v>2021</c:v>
                      </c:pt>
                      <c:pt idx="2">
                        <c:v>2022</c:v>
                      </c:pt>
                      <c:pt idx="3">
                        <c:v>2023</c:v>
                      </c:pt>
                      <c:pt idx="4">
                        <c:v>2024</c:v>
                      </c:pt>
                    </c:numCache>
                  </c:numRef>
                </c:cat>
                <c:val>
                  <c:numRef>
                    <c:extLst>
                      <c:ext uri="{02D57815-91ED-43cb-92C2-25804820EDAC}">
                        <c15:formulaRef>
                          <c15:sqref>Qualcomm!$A$62:$F$62</c15:sqref>
                        </c15:formulaRef>
                      </c:ext>
                    </c:extLst>
                    <c:numCache>
                      <c:formatCode>#,##0</c:formatCode>
                      <c:ptCount val="6"/>
                      <c:pt idx="0" formatCode="General">
                        <c:v>0</c:v>
                      </c:pt>
                      <c:pt idx="1">
                        <c:v>33196</c:v>
                      </c:pt>
                      <c:pt idx="2">
                        <c:v>30382</c:v>
                      </c:pt>
                      <c:pt idx="3">
                        <c:v>37677</c:v>
                      </c:pt>
                      <c:pt idx="4">
                        <c:v>27019</c:v>
                      </c:pt>
                      <c:pt idx="5">
                        <c:v>16493</c:v>
                      </c:pt>
                    </c:numCache>
                  </c:numRef>
                </c:val>
                <c:extLst>
                  <c:ext xmlns:c16="http://schemas.microsoft.com/office/drawing/2014/chart" uri="{C3380CC4-5D6E-409C-BE32-E72D297353CC}">
                    <c16:uniqueId val="{00000005-78C6-42F3-96E2-CDD218D89235}"/>
                  </c:ext>
                </c:extLst>
              </c15:ser>
            </c15:filteredBarSeries>
            <c15:filteredBarSeries>
              <c15:ser>
                <c:idx val="6"/>
                <c:order val="6"/>
                <c:spPr>
                  <a:solidFill>
                    <a:schemeClr val="accent1">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(Qualcomm!$F$57,Qualcomm!$E$57,Qualcomm!$D$57,Qualcomm!$C$57,Qualcomm!$B$57)</c15:sqref>
                        </c15:formulaRef>
                      </c:ext>
                    </c:extLst>
                    <c:numCache>
                      <c:formatCode>General</c:formatCode>
                      <c:ptCount val="5"/>
                      <c:pt idx="0">
                        <c:v>2020</c:v>
                      </c:pt>
                      <c:pt idx="1">
                        <c:v>2021</c:v>
                      </c:pt>
                      <c:pt idx="2">
                        <c:v>2022</c:v>
                      </c:pt>
                      <c:pt idx="3">
                        <c:v>2023</c:v>
                      </c:pt>
                      <c:pt idx="4">
                        <c:v>2024</c:v>
                      </c:pt>
                    </c:numCache>
                  </c:numRef>
                </c:cat>
                <c:val>
                  <c:numRef>
                    <c:extLst xmlns:c15="http://schemas.microsoft.com/office/drawing/2012/chart">
                      <c:ext xmlns:c15="http://schemas.microsoft.com/office/drawing/2012/chart" uri="{02D57815-91ED-43cb-92C2-25804820EDAC}">
                        <c15:formulaRef>
                          <c15:sqref>Qualcomm!$A$65:$F$65</c15:sqref>
                        </c15:formulaRef>
                      </c:ext>
                    </c:extLst>
                    <c:numCache>
                      <c:formatCode>#,##0</c:formatCode>
                      <c:ptCount val="6"/>
                      <c:pt idx="0" formatCode="General">
                        <c:v>0</c:v>
                      </c:pt>
                      <c:pt idx="1">
                        <c:v>5572</c:v>
                      </c:pt>
                      <c:pt idx="2">
                        <c:v>5306</c:v>
                      </c:pt>
                      <c:pt idx="3">
                        <c:v>6358</c:v>
                      </c:pt>
                      <c:pt idx="4">
                        <c:v>6320</c:v>
                      </c:pt>
                      <c:pt idx="5">
                        <c:v>5028</c:v>
                      </c:pt>
                    </c:numCache>
                  </c:numRef>
                </c:val>
                <c:extLst xmlns:c15="http://schemas.microsoft.com/office/drawing/2012/chart">
                  <c:ext xmlns:c16="http://schemas.microsoft.com/office/drawing/2014/chart" uri="{C3380CC4-5D6E-409C-BE32-E72D297353CC}">
                    <c16:uniqueId val="{00000006-78C6-42F3-96E2-CDD218D89235}"/>
                  </c:ext>
                </c:extLst>
              </c15:ser>
            </c15:filteredBarSeries>
            <c15:filteredBarSeries>
              <c15:ser>
                <c:idx val="7"/>
                <c:order val="7"/>
                <c:spPr>
                  <a:solidFill>
                    <a:schemeClr val="accent2">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(Qualcomm!$F$57,Qualcomm!$E$57,Qualcomm!$D$57,Qualcomm!$C$57,Qualcomm!$B$57)</c15:sqref>
                        </c15:formulaRef>
                      </c:ext>
                    </c:extLst>
                    <c:numCache>
                      <c:formatCode>General</c:formatCode>
                      <c:ptCount val="5"/>
                      <c:pt idx="0">
                        <c:v>2020</c:v>
                      </c:pt>
                      <c:pt idx="1">
                        <c:v>2021</c:v>
                      </c:pt>
                      <c:pt idx="2">
                        <c:v>2022</c:v>
                      </c:pt>
                      <c:pt idx="3">
                        <c:v>2023</c:v>
                      </c:pt>
                      <c:pt idx="4">
                        <c:v>2024</c:v>
                      </c:pt>
                    </c:numCache>
                  </c:numRef>
                </c:cat>
                <c:val>
                  <c:numRef>
                    <c:extLst xmlns:c15="http://schemas.microsoft.com/office/drawing/2012/chart">
                      <c:ext xmlns:c15="http://schemas.microsoft.com/office/drawing/2012/chart" uri="{02D57815-91ED-43cb-92C2-25804820EDAC}">
                        <c15:formulaRef>
                          <c15:sqref>Qualcomm!$A$68:$F$68</c15:sqref>
                        </c15:formulaRef>
                      </c:ext>
                    </c:extLst>
                    <c:numCache>
                      <c:formatCode>General</c:formatCode>
                      <c:ptCount val="6"/>
                      <c:pt idx="0">
                        <c:v>0</c:v>
                      </c:pt>
                      <c:pt idx="1">
                        <c:v>18</c:v>
                      </c:pt>
                      <c:pt idx="2">
                        <c:v>28</c:v>
                      </c:pt>
                      <c:pt idx="3">
                        <c:v>31</c:v>
                      </c:pt>
                      <c:pt idx="4">
                        <c:v>45</c:v>
                      </c:pt>
                      <c:pt idx="5">
                        <c:v>36</c:v>
                      </c:pt>
                    </c:numCache>
                  </c:numRef>
                </c:val>
                <c:extLst xmlns:c15="http://schemas.microsoft.com/office/drawing/2012/chart">
                  <c:ext xmlns:c16="http://schemas.microsoft.com/office/drawing/2014/chart" uri="{C3380CC4-5D6E-409C-BE32-E72D297353CC}">
                    <c16:uniqueId val="{00000007-78C6-42F3-96E2-CDD218D89235}"/>
                  </c:ext>
                </c:extLst>
              </c15:ser>
            </c15:filteredBarSeries>
          </c:ext>
        </c:extLst>
      </c:barChart>
      <c:catAx>
        <c:axId val="112642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32160"/>
        <c:crosses val="autoZero"/>
        <c:auto val="1"/>
        <c:lblAlgn val="ctr"/>
        <c:lblOffset val="100"/>
        <c:noMultiLvlLbl val="0"/>
      </c:catAx>
      <c:valAx>
        <c:axId val="1126432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2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Sustainability Pattern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Qualcomm!$A$51</c:f>
              <c:strCache>
                <c:ptCount val="1"/>
                <c:pt idx="0">
                  <c:v>Cash from Operating Activities (CFO)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(Qualcomm!$F$51,Qualcomm!$E$51,Qualcomm!$D$51,Qualcomm!$C$51,Qualcomm!$B$51)</c:f>
              <c:numCache>
                <c:formatCode>_(* #,##0_);_(* \(#,##0\);_(* "-"??_);_(@_)</c:formatCode>
                <c:ptCount val="5"/>
                <c:pt idx="0" formatCode="#,##0">
                  <c:v>5814</c:v>
                </c:pt>
                <c:pt idx="1">
                  <c:v>10536</c:v>
                </c:pt>
                <c:pt idx="2">
                  <c:v>9096</c:v>
                </c:pt>
                <c:pt idx="3">
                  <c:v>11299</c:v>
                </c:pt>
                <c:pt idx="4">
                  <c:v>12202</c:v>
                </c:pt>
              </c:numCache>
            </c:numRef>
          </c:val>
          <c:smooth val="0"/>
          <c:extLst>
            <c:ext xmlns:c16="http://schemas.microsoft.com/office/drawing/2014/chart" uri="{C3380CC4-5D6E-409C-BE32-E72D297353CC}">
              <c16:uniqueId val="{00000000-50D2-431D-9C48-F85546AD9A27}"/>
            </c:ext>
          </c:extLst>
        </c:ser>
        <c:ser>
          <c:idx val="1"/>
          <c:order val="1"/>
          <c:tx>
            <c:strRef>
              <c:f>Qualcomm!$A$52</c:f>
              <c:strCache>
                <c:ptCount val="1"/>
                <c:pt idx="0">
                  <c:v>Cash used in Investing Activities (CapEx/CFInv)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(Qualcomm!$F$52,Qualcomm!$E$52,Qualcomm!$D$52,Qualcomm!$C$52,Qualcomm!$B$52)</c:f>
              <c:numCache>
                <c:formatCode>_(* #,##0_);_(* \(#,##0\);_(* "-"??_);_(@_)</c:formatCode>
                <c:ptCount val="5"/>
                <c:pt idx="0">
                  <c:v>-5263</c:v>
                </c:pt>
                <c:pt idx="1">
                  <c:v>-3356</c:v>
                </c:pt>
                <c:pt idx="2">
                  <c:v>-5804</c:v>
                </c:pt>
                <c:pt idx="3">
                  <c:v>762</c:v>
                </c:pt>
                <c:pt idx="4">
                  <c:v>-3623</c:v>
                </c:pt>
              </c:numCache>
            </c:numRef>
          </c:val>
          <c:smooth val="0"/>
          <c:extLst>
            <c:ext xmlns:c16="http://schemas.microsoft.com/office/drawing/2014/chart" uri="{C3380CC4-5D6E-409C-BE32-E72D297353CC}">
              <c16:uniqueId val="{00000001-50D2-431D-9C48-F85546AD9A27}"/>
            </c:ext>
          </c:extLst>
        </c:ser>
        <c:ser>
          <c:idx val="2"/>
          <c:order val="2"/>
          <c:tx>
            <c:strRef>
              <c:f>Qualcomm!$A$53</c:f>
              <c:strCache>
                <c:ptCount val="1"/>
                <c:pt idx="0">
                  <c:v>Cash used in Financing Activities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(Qualcomm!$F$53,Qualcomm!$E$53,Qualcomm!$D$53,Qualcomm!$C$53,Qualcomm!$B$53)</c:f>
              <c:numCache>
                <c:formatCode>_(* #,##0_);_(* \(#,##0\);_(* "-"??_);_(@_)</c:formatCode>
                <c:ptCount val="5"/>
                <c:pt idx="0">
                  <c:v>-5707</c:v>
                </c:pt>
                <c:pt idx="1">
                  <c:v>-6798</c:v>
                </c:pt>
                <c:pt idx="2">
                  <c:v>-7196</c:v>
                </c:pt>
                <c:pt idx="3">
                  <c:v>-6663</c:v>
                </c:pt>
                <c:pt idx="4">
                  <c:v>-9269</c:v>
                </c:pt>
              </c:numCache>
            </c:numRef>
          </c:val>
          <c:smooth val="0"/>
          <c:extLst>
            <c:ext xmlns:c16="http://schemas.microsoft.com/office/drawing/2014/chart" uri="{C3380CC4-5D6E-409C-BE32-E72D297353CC}">
              <c16:uniqueId val="{00000002-50D2-431D-9C48-F85546AD9A27}"/>
            </c:ext>
          </c:extLst>
        </c:ser>
        <c:ser>
          <c:idx val="3"/>
          <c:order val="3"/>
          <c:tx>
            <c:strRef>
              <c:f>Qualcomm!$A$54</c:f>
              <c:strCache>
                <c:ptCount val="1"/>
                <c:pt idx="0">
                  <c:v>Free Cash Flow (FCF)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(Qualcomm!$F$50,Qualcomm!$E$50,Qualcomm!$D$50,Qualcomm!$C$50,Qualcomm!$B$50)</c:f>
              <c:numCache>
                <c:formatCode>General</c:formatCode>
                <c:ptCount val="5"/>
                <c:pt idx="0">
                  <c:v>2020</c:v>
                </c:pt>
                <c:pt idx="1">
                  <c:v>2021</c:v>
                </c:pt>
                <c:pt idx="2">
                  <c:v>2022</c:v>
                </c:pt>
                <c:pt idx="3">
                  <c:v>2023</c:v>
                </c:pt>
                <c:pt idx="4">
                  <c:v>2024</c:v>
                </c:pt>
              </c:numCache>
            </c:numRef>
          </c:cat>
          <c:val>
            <c:numRef>
              <c:f>(Qualcomm!$F$54,Qualcomm!$E$54,Qualcomm!$D$54,Qualcomm!$C$54,Qualcomm!$B$54)</c:f>
              <c:numCache>
                <c:formatCode>_(* #,##0_);_(* \(#,##0\);_(* "-"??_);_(@_)</c:formatCode>
                <c:ptCount val="5"/>
                <c:pt idx="0">
                  <c:v>551</c:v>
                </c:pt>
                <c:pt idx="1">
                  <c:v>7180</c:v>
                </c:pt>
                <c:pt idx="2">
                  <c:v>3292</c:v>
                </c:pt>
                <c:pt idx="3">
                  <c:v>12061</c:v>
                </c:pt>
                <c:pt idx="4">
                  <c:v>8579</c:v>
                </c:pt>
              </c:numCache>
            </c:numRef>
          </c:val>
          <c:smooth val="0"/>
          <c:extLst>
            <c:ext xmlns:c16="http://schemas.microsoft.com/office/drawing/2014/chart" uri="{C3380CC4-5D6E-409C-BE32-E72D297353CC}">
              <c16:uniqueId val="{00000003-50D2-431D-9C48-F85546AD9A27}"/>
            </c:ext>
          </c:extLst>
        </c:ser>
        <c:dLbls>
          <c:showLegendKey val="0"/>
          <c:showVal val="0"/>
          <c:showCatName val="0"/>
          <c:showSerName val="0"/>
          <c:showPercent val="0"/>
          <c:showBubbleSize val="0"/>
        </c:dLbls>
        <c:marker val="1"/>
        <c:smooth val="0"/>
        <c:axId val="272142928"/>
        <c:axId val="272145328"/>
      </c:lineChart>
      <c:catAx>
        <c:axId val="27214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145328"/>
        <c:crosses val="autoZero"/>
        <c:auto val="1"/>
        <c:lblAlgn val="ctr"/>
        <c:lblOffset val="100"/>
        <c:noMultiLvlLbl val="0"/>
      </c:catAx>
      <c:valAx>
        <c:axId val="27214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142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Margin VS Gross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ARM!$A$51</c:f>
              <c:strCache>
                <c:ptCount val="1"/>
                <c:pt idx="0">
                  <c:v>Gross Margin</c:v>
                </c:pt>
              </c:strCache>
            </c:strRef>
          </c:tx>
          <c:spPr>
            <a:ln w="28575" cap="rnd">
              <a:solidFill>
                <a:srgbClr val="104861"/>
              </a:solidFill>
              <a:prstDash val="solid"/>
              <a:round/>
            </a:ln>
            <a:effectLst/>
          </c:spPr>
          <c:marker>
            <c:symbol val="none"/>
          </c:marker>
          <c:cat>
            <c:strRef>
              <c:f>ARM!$B$50:$F$50</c:f>
              <c:strCache>
                <c:ptCount val="5"/>
                <c:pt idx="0">
                  <c:v>2025-24</c:v>
                </c:pt>
                <c:pt idx="1">
                  <c:v>2024-23</c:v>
                </c:pt>
                <c:pt idx="2">
                  <c:v>2023-22</c:v>
                </c:pt>
                <c:pt idx="3">
                  <c:v>2022-21</c:v>
                </c:pt>
                <c:pt idx="4">
                  <c:v>2021-20</c:v>
                </c:pt>
              </c:strCache>
            </c:strRef>
          </c:cat>
          <c:val>
            <c:numRef>
              <c:f>ARM!$B$51:$F$51</c:f>
              <c:numCache>
                <c:formatCode>0.00%</c:formatCode>
                <c:ptCount val="5"/>
                <c:pt idx="0">
                  <c:v>0.96980284502121283</c:v>
                </c:pt>
                <c:pt idx="1">
                  <c:v>0.95236622332199194</c:v>
                </c:pt>
                <c:pt idx="2">
                  <c:v>1.0350877192982457</c:v>
                </c:pt>
                <c:pt idx="3">
                  <c:v>1.0484646688864225</c:v>
                </c:pt>
                <c:pt idx="4">
                  <c:v>0.92846571287617163</c:v>
                </c:pt>
              </c:numCache>
            </c:numRef>
          </c:val>
          <c:smooth val="0"/>
          <c:extLst>
            <c:ext xmlns:c16="http://schemas.microsoft.com/office/drawing/2014/chart" uri="{C3380CC4-5D6E-409C-BE32-E72D297353CC}">
              <c16:uniqueId val="{00000000-C178-4DAF-A048-618414582EF8}"/>
            </c:ext>
          </c:extLst>
        </c:ser>
        <c:ser>
          <c:idx val="1"/>
          <c:order val="1"/>
          <c:tx>
            <c:strRef>
              <c:f>ARM!$A$52</c:f>
              <c:strCache>
                <c:ptCount val="1"/>
                <c:pt idx="0">
                  <c:v>Operating Margin</c:v>
                </c:pt>
              </c:strCache>
            </c:strRef>
          </c:tx>
          <c:spPr>
            <a:ln w="28575" cap="rnd">
              <a:solidFill>
                <a:srgbClr val="E97132"/>
              </a:solidFill>
              <a:prstDash val="solid"/>
              <a:round/>
            </a:ln>
            <a:effectLst/>
          </c:spPr>
          <c:marker>
            <c:symbol val="none"/>
          </c:marker>
          <c:cat>
            <c:strRef>
              <c:f>ARM!$B$50:$F$50</c:f>
              <c:strCache>
                <c:ptCount val="5"/>
                <c:pt idx="0">
                  <c:v>2025-24</c:v>
                </c:pt>
                <c:pt idx="1">
                  <c:v>2024-23</c:v>
                </c:pt>
                <c:pt idx="2">
                  <c:v>2023-22</c:v>
                </c:pt>
                <c:pt idx="3">
                  <c:v>2022-21</c:v>
                </c:pt>
                <c:pt idx="4">
                  <c:v>2021-20</c:v>
                </c:pt>
              </c:strCache>
            </c:strRef>
          </c:cat>
          <c:val>
            <c:numRef>
              <c:f>ARM!$B$52:$F$52</c:f>
              <c:numCache>
                <c:formatCode>0.00%</c:formatCode>
                <c:ptCount val="5"/>
                <c:pt idx="0">
                  <c:v>0.2073870726229099</c:v>
                </c:pt>
                <c:pt idx="1">
                  <c:v>3.4333436436746058E-2</c:v>
                </c:pt>
                <c:pt idx="2">
                  <c:v>0.25046659201194477</c:v>
                </c:pt>
                <c:pt idx="3">
                  <c:v>0.23418423973362931</c:v>
                </c:pt>
                <c:pt idx="4">
                  <c:v>0.11790823877651702</c:v>
                </c:pt>
              </c:numCache>
            </c:numRef>
          </c:val>
          <c:smooth val="0"/>
          <c:extLst>
            <c:ext xmlns:c16="http://schemas.microsoft.com/office/drawing/2014/chart" uri="{C3380CC4-5D6E-409C-BE32-E72D297353CC}">
              <c16:uniqueId val="{00000002-C178-4DAF-A048-618414582EF8}"/>
            </c:ext>
          </c:extLst>
        </c:ser>
        <c:dLbls>
          <c:showLegendKey val="0"/>
          <c:showVal val="0"/>
          <c:showCatName val="0"/>
          <c:showSerName val="0"/>
          <c:showPercent val="0"/>
          <c:showBubbleSize val="0"/>
        </c:dLbls>
        <c:smooth val="0"/>
        <c:axId val="1396346887"/>
        <c:axId val="1396349959"/>
      </c:lineChart>
      <c:catAx>
        <c:axId val="13963468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349959"/>
        <c:crosses val="autoZero"/>
        <c:auto val="1"/>
        <c:lblAlgn val="ctr"/>
        <c:lblOffset val="100"/>
        <c:noMultiLvlLbl val="0"/>
      </c:catAx>
      <c:valAx>
        <c:axId val="139634995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346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Percentage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ARM!$A$77</c:f>
              <c:strCache>
                <c:ptCount val="1"/>
                <c:pt idx="0">
                  <c:v>Royalty% of total</c:v>
                </c:pt>
              </c:strCache>
            </c:strRef>
          </c:tx>
          <c:spPr>
            <a:solidFill>
              <a:srgbClr val="153D64"/>
            </a:solidFill>
            <a:ln>
              <a:noFill/>
            </a:ln>
            <a:effectLst/>
          </c:spPr>
          <c:invertIfNegative val="0"/>
          <c:val>
            <c:numRef>
              <c:f>ARM!$B$77:$F$77</c:f>
              <c:numCache>
                <c:formatCode>0.00%</c:formatCode>
                <c:ptCount val="5"/>
                <c:pt idx="0">
                  <c:v>0.54105315697529321</c:v>
                </c:pt>
                <c:pt idx="1">
                  <c:v>0.55737704918032782</c:v>
                </c:pt>
                <c:pt idx="2">
                  <c:v>0.5785740948114968</c:v>
                </c:pt>
                <c:pt idx="3">
                  <c:v>0.55123936366999626</c:v>
                </c:pt>
                <c:pt idx="4">
                  <c:v>0.44597927972372964</c:v>
                </c:pt>
              </c:numCache>
            </c:numRef>
          </c:val>
          <c:extLst>
            <c:ext xmlns:c16="http://schemas.microsoft.com/office/drawing/2014/chart" uri="{C3380CC4-5D6E-409C-BE32-E72D297353CC}">
              <c16:uniqueId val="{00000000-A24E-44EE-A9BE-028CB5487782}"/>
            </c:ext>
          </c:extLst>
        </c:ser>
        <c:ser>
          <c:idx val="1"/>
          <c:order val="1"/>
          <c:tx>
            <c:strRef>
              <c:f>ARM!$A$78</c:f>
              <c:strCache>
                <c:ptCount val="1"/>
                <c:pt idx="0">
                  <c:v>Licensing and Other Revenues % of total</c:v>
                </c:pt>
              </c:strCache>
            </c:strRef>
          </c:tx>
          <c:spPr>
            <a:solidFill>
              <a:srgbClr val="ADADAD"/>
            </a:solidFill>
            <a:ln>
              <a:noFill/>
            </a:ln>
            <a:effectLst/>
          </c:spPr>
          <c:invertIfNegative val="0"/>
          <c:val>
            <c:numRef>
              <c:f>ARM!$B$78:$F$78</c:f>
              <c:numCache>
                <c:formatCode>0.00%</c:formatCode>
                <c:ptCount val="5"/>
                <c:pt idx="0">
                  <c:v>0.45894684302470679</c:v>
                </c:pt>
                <c:pt idx="1">
                  <c:v>0.44262295081967212</c:v>
                </c:pt>
                <c:pt idx="2">
                  <c:v>0.42142590518850315</c:v>
                </c:pt>
                <c:pt idx="3">
                  <c:v>0.44876063633000368</c:v>
                </c:pt>
                <c:pt idx="4">
                  <c:v>0.55402072027627036</c:v>
                </c:pt>
              </c:numCache>
            </c:numRef>
          </c:val>
          <c:extLst>
            <c:ext xmlns:c16="http://schemas.microsoft.com/office/drawing/2014/chart" uri="{C3380CC4-5D6E-409C-BE32-E72D297353CC}">
              <c16:uniqueId val="{00000002-A24E-44EE-A9BE-028CB5487782}"/>
            </c:ext>
          </c:extLst>
        </c:ser>
        <c:dLbls>
          <c:showLegendKey val="0"/>
          <c:showVal val="0"/>
          <c:showCatName val="0"/>
          <c:showSerName val="0"/>
          <c:showPercent val="0"/>
          <c:showBubbleSize val="0"/>
        </c:dLbls>
        <c:gapWidth val="219"/>
        <c:overlap val="-27"/>
        <c:axId val="1246183943"/>
        <c:axId val="1246185991"/>
      </c:barChart>
      <c:catAx>
        <c:axId val="12461839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85991"/>
        <c:crosses val="autoZero"/>
        <c:auto val="1"/>
        <c:lblAlgn val="ctr"/>
        <c:lblOffset val="100"/>
        <c:noMultiLvlLbl val="0"/>
      </c:catAx>
      <c:valAx>
        <c:axId val="1246185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83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ARM!$A$52</c:f>
              <c:strCache>
                <c:ptCount val="1"/>
                <c:pt idx="0">
                  <c:v>Operating Margin</c:v>
                </c:pt>
              </c:strCache>
            </c:strRef>
          </c:tx>
          <c:spPr>
            <a:ln w="28575" cap="rnd">
              <a:solidFill>
                <a:srgbClr val="0E2841"/>
              </a:solidFill>
              <a:prstDash val="solid"/>
              <a:round/>
            </a:ln>
            <a:effectLst/>
          </c:spPr>
          <c:marker>
            <c:symbol val="none"/>
          </c:marker>
          <c:cat>
            <c:strRef>
              <c:f>ARM!$B$50:$F$50</c:f>
              <c:strCache>
                <c:ptCount val="5"/>
                <c:pt idx="0">
                  <c:v>2025-24</c:v>
                </c:pt>
                <c:pt idx="1">
                  <c:v>2024-23</c:v>
                </c:pt>
                <c:pt idx="2">
                  <c:v>2023-22</c:v>
                </c:pt>
                <c:pt idx="3">
                  <c:v>2022-21</c:v>
                </c:pt>
                <c:pt idx="4">
                  <c:v>2021-20</c:v>
                </c:pt>
              </c:strCache>
            </c:strRef>
          </c:cat>
          <c:val>
            <c:numRef>
              <c:f>ARM!$B$52:$F$52</c:f>
              <c:numCache>
                <c:formatCode>0.00%</c:formatCode>
                <c:ptCount val="5"/>
                <c:pt idx="0">
                  <c:v>0.2073870726229099</c:v>
                </c:pt>
                <c:pt idx="1">
                  <c:v>3.4333436436746058E-2</c:v>
                </c:pt>
                <c:pt idx="2">
                  <c:v>0.25046659201194477</c:v>
                </c:pt>
                <c:pt idx="3">
                  <c:v>0.23418423973362931</c:v>
                </c:pt>
                <c:pt idx="4">
                  <c:v>0.11790823877651702</c:v>
                </c:pt>
              </c:numCache>
            </c:numRef>
          </c:val>
          <c:smooth val="0"/>
          <c:extLst>
            <c:ext xmlns:c16="http://schemas.microsoft.com/office/drawing/2014/chart" uri="{C3380CC4-5D6E-409C-BE32-E72D297353CC}">
              <c16:uniqueId val="{00000002-450E-4298-880B-00F95257064B}"/>
            </c:ext>
          </c:extLst>
        </c:ser>
        <c:dLbls>
          <c:showLegendKey val="0"/>
          <c:showVal val="0"/>
          <c:showCatName val="0"/>
          <c:showSerName val="0"/>
          <c:showPercent val="0"/>
          <c:showBubbleSize val="0"/>
        </c:dLbls>
        <c:smooth val="0"/>
        <c:axId val="252972040"/>
        <c:axId val="1004037128"/>
      </c:lineChart>
      <c:catAx>
        <c:axId val="2529720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037128"/>
        <c:crosses val="autoZero"/>
        <c:auto val="1"/>
        <c:lblAlgn val="ctr"/>
        <c:lblOffset val="100"/>
        <c:noMultiLvlLbl val="0"/>
      </c:catAx>
      <c:valAx>
        <c:axId val="1004037128"/>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72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ARM!$A$32</c:f>
              <c:strCache>
                <c:ptCount val="1"/>
                <c:pt idx="0">
                  <c:v>Research and Development</c:v>
                </c:pt>
              </c:strCache>
            </c:strRef>
          </c:tx>
          <c:spPr>
            <a:solidFill>
              <a:srgbClr val="0E2841"/>
            </a:solidFill>
            <a:ln>
              <a:noFill/>
            </a:ln>
            <a:effectLst/>
          </c:spPr>
          <c:invertIfNegative val="0"/>
          <c:cat>
            <c:strRef>
              <c:f>ARM!$B$30:$F$30</c:f>
              <c:strCache>
                <c:ptCount val="5"/>
                <c:pt idx="0">
                  <c:v>FY2024</c:v>
                </c:pt>
                <c:pt idx="1">
                  <c:v>FY2023</c:v>
                </c:pt>
                <c:pt idx="2">
                  <c:v>FY2022</c:v>
                </c:pt>
                <c:pt idx="3">
                  <c:v>FY2021</c:v>
                </c:pt>
                <c:pt idx="4">
                  <c:v>FY2020</c:v>
                </c:pt>
              </c:strCache>
            </c:strRef>
          </c:cat>
          <c:val>
            <c:numRef>
              <c:f>ARM!$B$32:$F$32</c:f>
              <c:numCache>
                <c:formatCode>_(* #,##0_);_(* \(#,##0\);_(* "-"??_);_(@_)</c:formatCode>
                <c:ptCount val="5"/>
                <c:pt idx="0">
                  <c:v>2071</c:v>
                </c:pt>
                <c:pt idx="1">
                  <c:v>1979</c:v>
                </c:pt>
                <c:pt idx="2">
                  <c:v>1133</c:v>
                </c:pt>
                <c:pt idx="3">
                  <c:v>995</c:v>
                </c:pt>
                <c:pt idx="4">
                  <c:v>814</c:v>
                </c:pt>
              </c:numCache>
            </c:numRef>
          </c:val>
          <c:extLst>
            <c:ext xmlns:c16="http://schemas.microsoft.com/office/drawing/2014/chart" uri="{C3380CC4-5D6E-409C-BE32-E72D297353CC}">
              <c16:uniqueId val="{00000002-6673-4B91-92FE-0A7C42619E09}"/>
            </c:ext>
          </c:extLst>
        </c:ser>
        <c:ser>
          <c:idx val="2"/>
          <c:order val="1"/>
          <c:tx>
            <c:strRef>
              <c:f>ARM!$A$33</c:f>
              <c:strCache>
                <c:ptCount val="1"/>
                <c:pt idx="0">
                  <c:v> Impairment Of Long Live Assets</c:v>
                </c:pt>
              </c:strCache>
            </c:strRef>
          </c:tx>
          <c:spPr>
            <a:solidFill>
              <a:srgbClr val="2AA0A4"/>
            </a:solidFill>
            <a:ln>
              <a:noFill/>
            </a:ln>
            <a:effectLst/>
          </c:spPr>
          <c:invertIfNegative val="0"/>
          <c:cat>
            <c:strRef>
              <c:f>ARM!$B$30:$F$30</c:f>
              <c:strCache>
                <c:ptCount val="5"/>
                <c:pt idx="0">
                  <c:v>FY2024</c:v>
                </c:pt>
                <c:pt idx="1">
                  <c:v>FY2023</c:v>
                </c:pt>
                <c:pt idx="2">
                  <c:v>FY2022</c:v>
                </c:pt>
                <c:pt idx="3">
                  <c:v>FY2021</c:v>
                </c:pt>
                <c:pt idx="4">
                  <c:v>FY2020</c:v>
                </c:pt>
              </c:strCache>
            </c:strRef>
          </c:cat>
          <c:val>
            <c:numRef>
              <c:f>ARM!$B$33:$F$33</c:f>
              <c:numCache>
                <c:formatCode>_(* #,##0_);_(* \(#,##0\);_(* "-"??_);_(@_)</c:formatCode>
                <c:ptCount val="5"/>
                <c:pt idx="0">
                  <c:v>0</c:v>
                </c:pt>
                <c:pt idx="1">
                  <c:v>0</c:v>
                </c:pt>
                <c:pt idx="3">
                  <c:v>21</c:v>
                </c:pt>
                <c:pt idx="4">
                  <c:v>3</c:v>
                </c:pt>
              </c:numCache>
            </c:numRef>
          </c:val>
          <c:extLst>
            <c:ext xmlns:c16="http://schemas.microsoft.com/office/drawing/2014/chart" uri="{C3380CC4-5D6E-409C-BE32-E72D297353CC}">
              <c16:uniqueId val="{00000004-6673-4B91-92FE-0A7C42619E09}"/>
            </c:ext>
          </c:extLst>
        </c:ser>
        <c:ser>
          <c:idx val="3"/>
          <c:order val="2"/>
          <c:tx>
            <c:strRef>
              <c:f>ARM!$A$34</c:f>
              <c:strCache>
                <c:ptCount val="1"/>
                <c:pt idx="0">
                  <c:v>Selling,general and administrative</c:v>
                </c:pt>
              </c:strCache>
            </c:strRef>
          </c:tx>
          <c:spPr>
            <a:solidFill>
              <a:srgbClr val="E97132"/>
            </a:solidFill>
            <a:ln>
              <a:noFill/>
            </a:ln>
            <a:effectLst/>
          </c:spPr>
          <c:invertIfNegative val="0"/>
          <c:cat>
            <c:strRef>
              <c:f>ARM!$B$30:$F$30</c:f>
              <c:strCache>
                <c:ptCount val="5"/>
                <c:pt idx="0">
                  <c:v>FY2024</c:v>
                </c:pt>
                <c:pt idx="1">
                  <c:v>FY2023</c:v>
                </c:pt>
                <c:pt idx="2">
                  <c:v>FY2022</c:v>
                </c:pt>
                <c:pt idx="3">
                  <c:v>FY2021</c:v>
                </c:pt>
                <c:pt idx="4">
                  <c:v>FY2020</c:v>
                </c:pt>
              </c:strCache>
            </c:strRef>
          </c:cat>
          <c:val>
            <c:numRef>
              <c:f>ARM!$B$34:$F$34</c:f>
              <c:numCache>
                <c:formatCode>_(* #,##0_);_(* \(#,##0\);_(* "-"??_);_(@_)</c:formatCode>
                <c:ptCount val="5"/>
                <c:pt idx="0">
                  <c:v>984</c:v>
                </c:pt>
                <c:pt idx="1">
                  <c:v>983</c:v>
                </c:pt>
                <c:pt idx="2">
                  <c:v>762</c:v>
                </c:pt>
                <c:pt idx="3">
                  <c:v>897</c:v>
                </c:pt>
                <c:pt idx="4">
                  <c:v>826</c:v>
                </c:pt>
              </c:numCache>
            </c:numRef>
          </c:val>
          <c:extLst>
            <c:ext xmlns:c16="http://schemas.microsoft.com/office/drawing/2014/chart" uri="{C3380CC4-5D6E-409C-BE32-E72D297353CC}">
              <c16:uniqueId val="{00000006-6673-4B91-92FE-0A7C42619E09}"/>
            </c:ext>
          </c:extLst>
        </c:ser>
        <c:ser>
          <c:idx val="4"/>
          <c:order val="3"/>
          <c:tx>
            <c:strRef>
              <c:f>ARM!$A$35</c:f>
              <c:strCache>
                <c:ptCount val="1"/>
                <c:pt idx="0">
                  <c:v>Disposal , restructuring and other operating expense</c:v>
                </c:pt>
              </c:strCache>
            </c:strRef>
          </c:tx>
          <c:spPr>
            <a:solidFill>
              <a:srgbClr val="13A10E"/>
            </a:solidFill>
            <a:ln>
              <a:noFill/>
            </a:ln>
            <a:effectLst/>
          </c:spPr>
          <c:invertIfNegative val="0"/>
          <c:cat>
            <c:strRef>
              <c:f>ARM!$B$30:$F$30</c:f>
              <c:strCache>
                <c:ptCount val="5"/>
                <c:pt idx="0">
                  <c:v>FY2024</c:v>
                </c:pt>
                <c:pt idx="1">
                  <c:v>FY2023</c:v>
                </c:pt>
                <c:pt idx="2">
                  <c:v>FY2022</c:v>
                </c:pt>
                <c:pt idx="3">
                  <c:v>FY2021</c:v>
                </c:pt>
                <c:pt idx="4">
                  <c:v>FY2020</c:v>
                </c:pt>
              </c:strCache>
            </c:strRef>
          </c:cat>
          <c:val>
            <c:numRef>
              <c:f>ARM!$B$35:$F$35</c:f>
              <c:numCache>
                <c:formatCode>_(* #,##0_);_(* \(#,##0\);_(* "-"??_);_(@_)</c:formatCode>
                <c:ptCount val="5"/>
                <c:pt idx="0">
                  <c:v>0</c:v>
                </c:pt>
                <c:pt idx="1">
                  <c:v>6</c:v>
                </c:pt>
                <c:pt idx="2">
                  <c:v>7</c:v>
                </c:pt>
                <c:pt idx="3">
                  <c:v>26</c:v>
                </c:pt>
              </c:numCache>
            </c:numRef>
          </c:val>
          <c:extLst>
            <c:ext xmlns:c16="http://schemas.microsoft.com/office/drawing/2014/chart" uri="{C3380CC4-5D6E-409C-BE32-E72D297353CC}">
              <c16:uniqueId val="{00000008-6673-4B91-92FE-0A7C42619E09}"/>
            </c:ext>
          </c:extLst>
        </c:ser>
        <c:dLbls>
          <c:showLegendKey val="0"/>
          <c:showVal val="0"/>
          <c:showCatName val="0"/>
          <c:showSerName val="0"/>
          <c:showPercent val="0"/>
          <c:showBubbleSize val="0"/>
        </c:dLbls>
        <c:gapWidth val="219"/>
        <c:overlap val="-27"/>
        <c:axId val="1140132871"/>
        <c:axId val="1238880263"/>
      </c:barChart>
      <c:catAx>
        <c:axId val="114013287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880263"/>
        <c:crosses val="autoZero"/>
        <c:auto val="1"/>
        <c:lblAlgn val="ctr"/>
        <c:lblOffset val="100"/>
        <c:noMultiLvlLbl val="0"/>
      </c:catAx>
      <c:valAx>
        <c:axId val="1238880263"/>
        <c:scaling>
          <c:orientation val="minMax"/>
        </c:scaling>
        <c:delete val="0"/>
        <c:axPos val="r"/>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32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strRef>
              <c:f>ARM!$A$21</c:f>
              <c:strCache>
                <c:ptCount val="1"/>
                <c:pt idx="0">
                  <c:v>FREE CASH FLOW</c:v>
                </c:pt>
              </c:strCache>
            </c:strRef>
          </c:tx>
          <c:spPr>
            <a:ln w="28575" cap="rnd">
              <a:solidFill>
                <a:srgbClr val="E97132"/>
              </a:solidFill>
              <a:prstDash val="solid"/>
              <a:round/>
            </a:ln>
            <a:effectLst/>
          </c:spPr>
          <c:marker>
            <c:symbol val="none"/>
          </c:marker>
          <c:xVal>
            <c:strRef>
              <c:f>ARM!$B$19:$F$19</c:f>
              <c:strCache>
                <c:ptCount val="5"/>
                <c:pt idx="0">
                  <c:v>FY2024</c:v>
                </c:pt>
                <c:pt idx="1">
                  <c:v>FY2023</c:v>
                </c:pt>
                <c:pt idx="2">
                  <c:v>FY2022</c:v>
                </c:pt>
                <c:pt idx="3">
                  <c:v>FY2021</c:v>
                </c:pt>
                <c:pt idx="4">
                  <c:v>FY2020</c:v>
                </c:pt>
              </c:strCache>
            </c:strRef>
          </c:xVal>
          <c:yVal>
            <c:numRef>
              <c:f>ARM!$B$21:$F$21</c:f>
              <c:numCache>
                <c:formatCode>_(* #,##0_);_(* \(#,##0\);_(* "-"??_);_(@_)</c:formatCode>
                <c:ptCount val="5"/>
                <c:pt idx="0">
                  <c:v>362</c:v>
                </c:pt>
                <c:pt idx="1">
                  <c:v>574</c:v>
                </c:pt>
                <c:pt idx="2">
                  <c:v>601</c:v>
                </c:pt>
                <c:pt idx="3">
                  <c:v>-161</c:v>
                </c:pt>
                <c:pt idx="4">
                  <c:v>893</c:v>
                </c:pt>
              </c:numCache>
            </c:numRef>
          </c:yVal>
          <c:smooth val="1"/>
          <c:extLst>
            <c:ext xmlns:c16="http://schemas.microsoft.com/office/drawing/2014/chart" uri="{C3380CC4-5D6E-409C-BE32-E72D297353CC}">
              <c16:uniqueId val="{00000002-5286-4D9D-88D8-E1D3E08A4D31}"/>
            </c:ext>
          </c:extLst>
        </c:ser>
        <c:ser>
          <c:idx val="2"/>
          <c:order val="1"/>
          <c:tx>
            <c:strRef>
              <c:f>ARM!$A$22</c:f>
              <c:strCache>
                <c:ptCount val="1"/>
                <c:pt idx="0">
                  <c:v>Net cash provided by (used for) financing activities</c:v>
                </c:pt>
              </c:strCache>
            </c:strRef>
          </c:tx>
          <c:spPr>
            <a:ln w="28575" cap="rnd">
              <a:solidFill>
                <a:srgbClr val="A6C9EC"/>
              </a:solidFill>
              <a:prstDash val="solid"/>
              <a:round/>
            </a:ln>
            <a:effectLst/>
          </c:spPr>
          <c:marker>
            <c:symbol val="none"/>
          </c:marker>
          <c:xVal>
            <c:strRef>
              <c:f>ARM!$B$19:$F$19</c:f>
              <c:strCache>
                <c:ptCount val="5"/>
                <c:pt idx="0">
                  <c:v>FY2024</c:v>
                </c:pt>
                <c:pt idx="1">
                  <c:v>FY2023</c:v>
                </c:pt>
                <c:pt idx="2">
                  <c:v>FY2022</c:v>
                </c:pt>
                <c:pt idx="3">
                  <c:v>FY2021</c:v>
                </c:pt>
                <c:pt idx="4">
                  <c:v>FY2020</c:v>
                </c:pt>
              </c:strCache>
            </c:strRef>
          </c:xVal>
          <c:yVal>
            <c:numRef>
              <c:f>ARM!$B$22:$F$22</c:f>
              <c:numCache>
                <c:formatCode>_(* #,##0_);_(* \(#,##0\);_(* "-"??_);_(@_)</c:formatCode>
                <c:ptCount val="5"/>
                <c:pt idx="0">
                  <c:v>-202</c:v>
                </c:pt>
                <c:pt idx="1">
                  <c:v>-208</c:v>
                </c:pt>
                <c:pt idx="2">
                  <c:v>-42</c:v>
                </c:pt>
                <c:pt idx="3">
                  <c:v>-32</c:v>
                </c:pt>
                <c:pt idx="4">
                  <c:v>-789</c:v>
                </c:pt>
              </c:numCache>
            </c:numRef>
          </c:yVal>
          <c:smooth val="1"/>
          <c:extLst>
            <c:ext xmlns:c16="http://schemas.microsoft.com/office/drawing/2014/chart" uri="{C3380CC4-5D6E-409C-BE32-E72D297353CC}">
              <c16:uniqueId val="{00000004-5286-4D9D-88D8-E1D3E08A4D31}"/>
            </c:ext>
          </c:extLst>
        </c:ser>
        <c:ser>
          <c:idx val="3"/>
          <c:order val="2"/>
          <c:tx>
            <c:strRef>
              <c:f>ARM!$A$23</c:f>
              <c:strCache>
                <c:ptCount val="1"/>
                <c:pt idx="0">
                  <c:v>Net cash provided by (used for) investing activities</c:v>
                </c:pt>
              </c:strCache>
            </c:strRef>
          </c:tx>
          <c:spPr>
            <a:ln w="28575" cap="rnd">
              <a:solidFill>
                <a:srgbClr val="808080"/>
              </a:solidFill>
              <a:prstDash val="solid"/>
              <a:round/>
            </a:ln>
            <a:effectLst/>
          </c:spPr>
          <c:marker>
            <c:symbol val="none"/>
          </c:marker>
          <c:xVal>
            <c:strRef>
              <c:f>ARM!$B$19:$F$19</c:f>
              <c:strCache>
                <c:ptCount val="5"/>
                <c:pt idx="0">
                  <c:v>FY2024</c:v>
                </c:pt>
                <c:pt idx="1">
                  <c:v>FY2023</c:v>
                </c:pt>
                <c:pt idx="2">
                  <c:v>FY2022</c:v>
                </c:pt>
                <c:pt idx="3">
                  <c:v>FY2021</c:v>
                </c:pt>
                <c:pt idx="4">
                  <c:v>FY2020</c:v>
                </c:pt>
              </c:strCache>
            </c:strRef>
          </c:xVal>
          <c:yVal>
            <c:numRef>
              <c:f>ARM!$B$23:$F$23</c:f>
              <c:numCache>
                <c:formatCode>_(* #,##0_);_(* \(#,##0\);_(* "-"??_);_(@_)</c:formatCode>
                <c:ptCount val="5"/>
                <c:pt idx="0">
                  <c:v>-35</c:v>
                </c:pt>
                <c:pt idx="1">
                  <c:v>-516</c:v>
                </c:pt>
                <c:pt idx="2">
                  <c:v>-138</c:v>
                </c:pt>
                <c:pt idx="3">
                  <c:v>-619</c:v>
                </c:pt>
                <c:pt idx="4">
                  <c:v>-340</c:v>
                </c:pt>
              </c:numCache>
            </c:numRef>
          </c:yVal>
          <c:smooth val="1"/>
          <c:extLst>
            <c:ext xmlns:c16="http://schemas.microsoft.com/office/drawing/2014/chart" uri="{C3380CC4-5D6E-409C-BE32-E72D297353CC}">
              <c16:uniqueId val="{00000006-5286-4D9D-88D8-E1D3E08A4D31}"/>
            </c:ext>
          </c:extLst>
        </c:ser>
        <c:ser>
          <c:idx val="4"/>
          <c:order val="3"/>
          <c:tx>
            <c:strRef>
              <c:f>ARM!$A$24</c:f>
              <c:strCache>
                <c:ptCount val="1"/>
                <c:pt idx="0">
                  <c:v>Net cash provided by (used for) operating activities</c:v>
                </c:pt>
              </c:strCache>
            </c:strRef>
          </c:tx>
          <c:spPr>
            <a:ln w="28575" cap="rnd">
              <a:solidFill>
                <a:srgbClr val="156082"/>
              </a:solidFill>
              <a:prstDash val="solid"/>
              <a:round/>
            </a:ln>
            <a:effectLst/>
          </c:spPr>
          <c:marker>
            <c:symbol val="none"/>
          </c:marker>
          <c:xVal>
            <c:strRef>
              <c:f>ARM!$B$19:$F$19</c:f>
              <c:strCache>
                <c:ptCount val="5"/>
                <c:pt idx="0">
                  <c:v>FY2024</c:v>
                </c:pt>
                <c:pt idx="1">
                  <c:v>FY2023</c:v>
                </c:pt>
                <c:pt idx="2">
                  <c:v>FY2022</c:v>
                </c:pt>
                <c:pt idx="3">
                  <c:v>FY2021</c:v>
                </c:pt>
                <c:pt idx="4">
                  <c:v>FY2020</c:v>
                </c:pt>
              </c:strCache>
            </c:strRef>
          </c:xVal>
          <c:yVal>
            <c:numRef>
              <c:f>ARM!$B$24:$F$24</c:f>
              <c:numCache>
                <c:formatCode>_(* #,##0_);_(* \(#,##0\);_(* "-"??_);_(@_)</c:formatCode>
                <c:ptCount val="5"/>
                <c:pt idx="0">
                  <c:v>397</c:v>
                </c:pt>
                <c:pt idx="1">
                  <c:v>1090</c:v>
                </c:pt>
                <c:pt idx="2">
                  <c:v>739</c:v>
                </c:pt>
                <c:pt idx="3">
                  <c:v>458</c:v>
                </c:pt>
                <c:pt idx="4">
                  <c:v>1233</c:v>
                </c:pt>
              </c:numCache>
            </c:numRef>
          </c:yVal>
          <c:smooth val="1"/>
          <c:extLst>
            <c:ext xmlns:c16="http://schemas.microsoft.com/office/drawing/2014/chart" uri="{C3380CC4-5D6E-409C-BE32-E72D297353CC}">
              <c16:uniqueId val="{00000008-5286-4D9D-88D8-E1D3E08A4D31}"/>
            </c:ext>
          </c:extLst>
        </c:ser>
        <c:dLbls>
          <c:showLegendKey val="0"/>
          <c:showVal val="0"/>
          <c:showCatName val="0"/>
          <c:showSerName val="0"/>
          <c:showPercent val="0"/>
          <c:showBubbleSize val="0"/>
        </c:dLbls>
        <c:axId val="1926786568"/>
        <c:axId val="1908354056"/>
      </c:scatterChart>
      <c:valAx>
        <c:axId val="1926786568"/>
        <c:scaling>
          <c:orientation val="maxMin"/>
          <c:max val="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54056"/>
        <c:crosses val="autoZero"/>
        <c:crossBetween val="midCat"/>
      </c:valAx>
      <c:valAx>
        <c:axId val="19083540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6568"/>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YEAR-ON-YEAR FINANCIAL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ARM!$A$56</c:f>
              <c:strCache>
                <c:ptCount val="1"/>
                <c:pt idx="0">
                  <c:v>Revenue</c:v>
                </c:pt>
              </c:strCache>
            </c:strRef>
          </c:tx>
          <c:spPr>
            <a:ln w="28575" cap="rnd">
              <a:solidFill>
                <a:schemeClr val="accent1"/>
              </a:solidFill>
              <a:round/>
            </a:ln>
            <a:effectLst/>
          </c:spPr>
          <c:marker>
            <c:symbol val="none"/>
          </c:marker>
          <c:cat>
            <c:numRef>
              <c:f>(ARM!$E$55,ARM!$D$55,ARM!$C$55,ARM!$B$55)</c:f>
              <c:numCache>
                <c:formatCode>General</c:formatCode>
                <c:ptCount val="4"/>
                <c:pt idx="0">
                  <c:v>2021</c:v>
                </c:pt>
                <c:pt idx="1">
                  <c:v>2022</c:v>
                </c:pt>
                <c:pt idx="2">
                  <c:v>2023</c:v>
                </c:pt>
                <c:pt idx="3">
                  <c:v>2024</c:v>
                </c:pt>
              </c:numCache>
            </c:numRef>
          </c:cat>
          <c:val>
            <c:numRef>
              <c:f>ARM!$E$56</c:f>
              <c:numCache>
                <c:formatCode>0%</c:formatCode>
                <c:ptCount val="1"/>
                <c:pt idx="0">
                  <c:v>0.33349777997039953</c:v>
                </c:pt>
              </c:numCache>
            </c:numRef>
          </c:val>
          <c:smooth val="0"/>
          <c:extLst>
            <c:ext xmlns:c16="http://schemas.microsoft.com/office/drawing/2014/chart" uri="{C3380CC4-5D6E-409C-BE32-E72D297353CC}">
              <c16:uniqueId val="{00000000-A0A4-4A5B-821D-08B5467585F5}"/>
            </c:ext>
          </c:extLst>
        </c:ser>
        <c:ser>
          <c:idx val="1"/>
          <c:order val="1"/>
          <c:tx>
            <c:strRef>
              <c:f>ARM!$A$57</c:f>
              <c:strCache>
                <c:ptCount val="1"/>
                <c:pt idx="0">
                  <c:v>Cost Of Sales</c:v>
                </c:pt>
              </c:strCache>
            </c:strRef>
          </c:tx>
          <c:spPr>
            <a:ln w="28575" cap="rnd">
              <a:solidFill>
                <a:schemeClr val="accent2"/>
              </a:solidFill>
              <a:round/>
            </a:ln>
            <a:effectLst/>
          </c:spPr>
          <c:marker>
            <c:symbol val="none"/>
          </c:marker>
          <c:cat>
            <c:numRef>
              <c:f>(ARM!$E$55,ARM!$D$55,ARM!$C$55,ARM!$B$55)</c:f>
              <c:numCache>
                <c:formatCode>General</c:formatCode>
                <c:ptCount val="4"/>
                <c:pt idx="0">
                  <c:v>2021</c:v>
                </c:pt>
                <c:pt idx="1">
                  <c:v>2022</c:v>
                </c:pt>
                <c:pt idx="2">
                  <c:v>2023</c:v>
                </c:pt>
                <c:pt idx="3">
                  <c:v>2024</c:v>
                </c:pt>
              </c:numCache>
            </c:numRef>
          </c:cat>
          <c:val>
            <c:numRef>
              <c:f>(ARM!$E$57,ARM!$D$57,ARM!$C$57,ARM!$B$57)</c:f>
              <c:numCache>
                <c:formatCode>0%</c:formatCode>
                <c:ptCount val="4"/>
                <c:pt idx="0">
                  <c:v>-9.6551724137931005E-2</c:v>
                </c:pt>
                <c:pt idx="1">
                  <c:v>-0.19083969465648853</c:v>
                </c:pt>
                <c:pt idx="2">
                  <c:v>0.45283018867924518</c:v>
                </c:pt>
                <c:pt idx="3">
                  <c:v>-0.2142857142857143</c:v>
                </c:pt>
              </c:numCache>
            </c:numRef>
          </c:val>
          <c:smooth val="0"/>
          <c:extLst>
            <c:ext xmlns:c16="http://schemas.microsoft.com/office/drawing/2014/chart" uri="{C3380CC4-5D6E-409C-BE32-E72D297353CC}">
              <c16:uniqueId val="{00000001-A0A4-4A5B-821D-08B5467585F5}"/>
            </c:ext>
          </c:extLst>
        </c:ser>
        <c:ser>
          <c:idx val="2"/>
          <c:order val="2"/>
          <c:tx>
            <c:strRef>
              <c:f>ARM!$A$58</c:f>
              <c:strCache>
                <c:ptCount val="1"/>
                <c:pt idx="0">
                  <c:v>Operating Expenses</c:v>
                </c:pt>
              </c:strCache>
            </c:strRef>
          </c:tx>
          <c:spPr>
            <a:ln w="28575" cap="rnd">
              <a:solidFill>
                <a:schemeClr val="accent3"/>
              </a:solidFill>
              <a:round/>
            </a:ln>
            <a:effectLst/>
          </c:spPr>
          <c:marker>
            <c:symbol val="none"/>
          </c:marker>
          <c:cat>
            <c:numRef>
              <c:f>(ARM!$E$55,ARM!$D$55,ARM!$C$55,ARM!$B$55)</c:f>
              <c:numCache>
                <c:formatCode>General</c:formatCode>
                <c:ptCount val="4"/>
                <c:pt idx="0">
                  <c:v>2021</c:v>
                </c:pt>
                <c:pt idx="1">
                  <c:v>2022</c:v>
                </c:pt>
                <c:pt idx="2">
                  <c:v>2023</c:v>
                </c:pt>
                <c:pt idx="3">
                  <c:v>2024</c:v>
                </c:pt>
              </c:numCache>
            </c:numRef>
          </c:cat>
          <c:val>
            <c:numRef>
              <c:f>(ARM!$E$58,ARM!$D$58,ARM!$C$58,ARM!$B$58)</c:f>
              <c:numCache>
                <c:formatCode>0%</c:formatCode>
                <c:ptCount val="4"/>
                <c:pt idx="0">
                  <c:v>0.18015824710894712</c:v>
                </c:pt>
                <c:pt idx="1">
                  <c:v>-1.9082001031459517E-2</c:v>
                </c:pt>
                <c:pt idx="2">
                  <c:v>0.56046267087276558</c:v>
                </c:pt>
                <c:pt idx="3">
                  <c:v>2.9312668463611802E-2</c:v>
                </c:pt>
              </c:numCache>
            </c:numRef>
          </c:val>
          <c:smooth val="0"/>
          <c:extLst>
            <c:ext xmlns:c16="http://schemas.microsoft.com/office/drawing/2014/chart" uri="{C3380CC4-5D6E-409C-BE32-E72D297353CC}">
              <c16:uniqueId val="{00000002-A0A4-4A5B-821D-08B5467585F5}"/>
            </c:ext>
          </c:extLst>
        </c:ser>
        <c:ser>
          <c:idx val="3"/>
          <c:order val="3"/>
          <c:tx>
            <c:strRef>
              <c:f>ARM!$A$59</c:f>
              <c:strCache>
                <c:ptCount val="1"/>
                <c:pt idx="0">
                  <c:v>Gross Profit</c:v>
                </c:pt>
              </c:strCache>
            </c:strRef>
          </c:tx>
          <c:spPr>
            <a:ln w="28575" cap="rnd">
              <a:solidFill>
                <a:schemeClr val="accent4"/>
              </a:solidFill>
              <a:round/>
            </a:ln>
            <a:effectLst/>
          </c:spPr>
          <c:marker>
            <c:symbol val="none"/>
          </c:marker>
          <c:cat>
            <c:numRef>
              <c:f>(ARM!$E$55,ARM!$D$55,ARM!$C$55,ARM!$B$55)</c:f>
              <c:numCache>
                <c:formatCode>General</c:formatCode>
                <c:ptCount val="4"/>
                <c:pt idx="0">
                  <c:v>2021</c:v>
                </c:pt>
                <c:pt idx="1">
                  <c:v>2022</c:v>
                </c:pt>
                <c:pt idx="2">
                  <c:v>2023</c:v>
                </c:pt>
                <c:pt idx="3">
                  <c:v>2024</c:v>
                </c:pt>
              </c:numCache>
            </c:numRef>
          </c:cat>
          <c:val>
            <c:numRef>
              <c:f>(ARM!$E$59,ARM!$D$59,ARM!$C$59,ARM!$B$59)</c:f>
              <c:numCache>
                <c:formatCode>0%</c:formatCode>
                <c:ptCount val="4"/>
                <c:pt idx="0">
                  <c:v>0.50584484590860779</c:v>
                </c:pt>
                <c:pt idx="1">
                  <c:v>-2.152434721242058E-2</c:v>
                </c:pt>
                <c:pt idx="2">
                  <c:v>0.11034980165885333</c:v>
                </c:pt>
                <c:pt idx="3">
                  <c:v>0.26209808379343946</c:v>
                </c:pt>
              </c:numCache>
            </c:numRef>
          </c:val>
          <c:smooth val="0"/>
          <c:extLst>
            <c:ext xmlns:c16="http://schemas.microsoft.com/office/drawing/2014/chart" uri="{C3380CC4-5D6E-409C-BE32-E72D297353CC}">
              <c16:uniqueId val="{00000003-A0A4-4A5B-821D-08B5467585F5}"/>
            </c:ext>
          </c:extLst>
        </c:ser>
        <c:ser>
          <c:idx val="4"/>
          <c:order val="4"/>
          <c:tx>
            <c:strRef>
              <c:f>ARM!$A$60</c:f>
              <c:strCache>
                <c:ptCount val="1"/>
                <c:pt idx="0">
                  <c:v>Net Income</c:v>
                </c:pt>
              </c:strCache>
            </c:strRef>
          </c:tx>
          <c:spPr>
            <a:ln w="28575" cap="rnd">
              <a:solidFill>
                <a:schemeClr val="accent5"/>
              </a:solidFill>
              <a:round/>
            </a:ln>
            <a:effectLst/>
          </c:spPr>
          <c:marker>
            <c:symbol val="none"/>
          </c:marker>
          <c:cat>
            <c:numRef>
              <c:f>(ARM!$E$55,ARM!$D$55,ARM!$C$55,ARM!$B$55)</c:f>
              <c:numCache>
                <c:formatCode>General</c:formatCode>
                <c:ptCount val="4"/>
                <c:pt idx="0">
                  <c:v>2021</c:v>
                </c:pt>
                <c:pt idx="1">
                  <c:v>2022</c:v>
                </c:pt>
                <c:pt idx="2">
                  <c:v>2023</c:v>
                </c:pt>
                <c:pt idx="3">
                  <c:v>2024</c:v>
                </c:pt>
              </c:numCache>
            </c:numRef>
          </c:cat>
          <c:val>
            <c:numRef>
              <c:f>(ARM!$E$60,ARM!$D$60,ARM!$C$60,ARM!$B$60)</c:f>
              <c:numCache>
                <c:formatCode>0%</c:formatCode>
                <c:ptCount val="4"/>
                <c:pt idx="0">
                  <c:v>0.24264705882352944</c:v>
                </c:pt>
                <c:pt idx="1">
                  <c:v>-0.2248520710059172</c:v>
                </c:pt>
                <c:pt idx="2">
                  <c:v>-0.41603053435114501</c:v>
                </c:pt>
                <c:pt idx="3">
                  <c:v>1.5882352941176472</c:v>
                </c:pt>
              </c:numCache>
            </c:numRef>
          </c:val>
          <c:smooth val="0"/>
          <c:extLst>
            <c:ext xmlns:c16="http://schemas.microsoft.com/office/drawing/2014/chart" uri="{C3380CC4-5D6E-409C-BE32-E72D297353CC}">
              <c16:uniqueId val="{00000004-A0A4-4A5B-821D-08B5467585F5}"/>
            </c:ext>
          </c:extLst>
        </c:ser>
        <c:dLbls>
          <c:showLegendKey val="0"/>
          <c:showVal val="0"/>
          <c:showCatName val="0"/>
          <c:showSerName val="0"/>
          <c:showPercent val="0"/>
          <c:showBubbleSize val="0"/>
        </c:dLbls>
        <c:smooth val="0"/>
        <c:axId val="16808800"/>
        <c:axId val="16801120"/>
      </c:lineChart>
      <c:catAx>
        <c:axId val="16808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120"/>
        <c:crosses val="autoZero"/>
        <c:auto val="1"/>
        <c:lblAlgn val="ctr"/>
        <c:lblOffset val="100"/>
        <c:noMultiLvlLbl val="0"/>
      </c:catAx>
      <c:valAx>
        <c:axId val="1680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Geographical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2024</c:v>
          </c:tx>
          <c:spPr>
            <a:solidFill>
              <a:srgbClr val="104861"/>
            </a:solidFill>
            <a:ln>
              <a:noFill/>
            </a:ln>
            <a:effectLst/>
          </c:spPr>
          <c:invertIfNegative val="0"/>
          <c:cat>
            <c:strRef>
              <c:f>ARM!$A$64:$A$68</c:f>
              <c:strCache>
                <c:ptCount val="5"/>
                <c:pt idx="0">
                  <c:v>UNITED STATES OF AMERICA</c:v>
                </c:pt>
                <c:pt idx="1">
                  <c:v>PRC</c:v>
                </c:pt>
                <c:pt idx="2">
                  <c:v>TAIWAN</c:v>
                </c:pt>
                <c:pt idx="3">
                  <c:v>REPUBLIC OF KOREA</c:v>
                </c:pt>
                <c:pt idx="4">
                  <c:v>OTHER</c:v>
                </c:pt>
              </c:strCache>
            </c:strRef>
          </c:cat>
          <c:val>
            <c:numRef>
              <c:f>ARM!$B$64:$B$68</c:f>
              <c:numCache>
                <c:formatCode>_(* #,##0_);_(* \(#,##0\);_(* "-"??_);_(@_)</c:formatCode>
                <c:ptCount val="5"/>
                <c:pt idx="0">
                  <c:v>1716</c:v>
                </c:pt>
                <c:pt idx="1">
                  <c:v>748</c:v>
                </c:pt>
                <c:pt idx="2">
                  <c:v>629</c:v>
                </c:pt>
                <c:pt idx="3">
                  <c:v>324</c:v>
                </c:pt>
                <c:pt idx="4">
                  <c:v>586</c:v>
                </c:pt>
              </c:numCache>
            </c:numRef>
          </c:val>
          <c:extLst>
            <c:ext xmlns:c16="http://schemas.microsoft.com/office/drawing/2014/chart" uri="{C3380CC4-5D6E-409C-BE32-E72D297353CC}">
              <c16:uniqueId val="{00000001-12C2-4843-98F9-BDA344A8550A}"/>
            </c:ext>
          </c:extLst>
        </c:ser>
        <c:ser>
          <c:idx val="1"/>
          <c:order val="1"/>
          <c:tx>
            <c:v>2023</c:v>
          </c:tx>
          <c:spPr>
            <a:solidFill>
              <a:srgbClr val="4D93D9"/>
            </a:solidFill>
            <a:ln>
              <a:noFill/>
            </a:ln>
            <a:effectLst/>
          </c:spPr>
          <c:invertIfNegative val="0"/>
          <c:cat>
            <c:strRef>
              <c:f>ARM!$A$64:$A$68</c:f>
              <c:strCache>
                <c:ptCount val="5"/>
                <c:pt idx="0">
                  <c:v>UNITED STATES OF AMERICA</c:v>
                </c:pt>
                <c:pt idx="1">
                  <c:v>PRC</c:v>
                </c:pt>
                <c:pt idx="2">
                  <c:v>TAIWAN</c:v>
                </c:pt>
                <c:pt idx="3">
                  <c:v>REPUBLIC OF KOREA</c:v>
                </c:pt>
                <c:pt idx="4">
                  <c:v>OTHER</c:v>
                </c:pt>
              </c:strCache>
            </c:strRef>
          </c:cat>
          <c:val>
            <c:numRef>
              <c:f>ARM!$C$64:$C$68</c:f>
              <c:numCache>
                <c:formatCode>_(* #,##0_);_(* \(#,##0\);_(* "-"??_);_(@_)</c:formatCode>
                <c:ptCount val="5"/>
                <c:pt idx="0">
                  <c:v>1405</c:v>
                </c:pt>
                <c:pt idx="1">
                  <c:v>700</c:v>
                </c:pt>
                <c:pt idx="2">
                  <c:v>521</c:v>
                </c:pt>
                <c:pt idx="3">
                  <c:v>307</c:v>
                </c:pt>
                <c:pt idx="4">
                  <c:v>294</c:v>
                </c:pt>
              </c:numCache>
            </c:numRef>
          </c:val>
          <c:extLst>
            <c:ext xmlns:c16="http://schemas.microsoft.com/office/drawing/2014/chart" uri="{C3380CC4-5D6E-409C-BE32-E72D297353CC}">
              <c16:uniqueId val="{00000003-12C2-4843-98F9-BDA344A8550A}"/>
            </c:ext>
          </c:extLst>
        </c:ser>
        <c:ser>
          <c:idx val="2"/>
          <c:order val="2"/>
          <c:tx>
            <c:v>2022</c:v>
          </c:tx>
          <c:spPr>
            <a:solidFill>
              <a:srgbClr val="A6C9EC"/>
            </a:solidFill>
            <a:ln>
              <a:noFill/>
            </a:ln>
            <a:effectLst/>
          </c:spPr>
          <c:invertIfNegative val="0"/>
          <c:cat>
            <c:strRef>
              <c:f>ARM!$A$64:$A$68</c:f>
              <c:strCache>
                <c:ptCount val="5"/>
                <c:pt idx="0">
                  <c:v>UNITED STATES OF AMERICA</c:v>
                </c:pt>
                <c:pt idx="1">
                  <c:v>PRC</c:v>
                </c:pt>
                <c:pt idx="2">
                  <c:v>TAIWAN</c:v>
                </c:pt>
                <c:pt idx="3">
                  <c:v>REPUBLIC OF KOREA</c:v>
                </c:pt>
                <c:pt idx="4">
                  <c:v>OTHER</c:v>
                </c:pt>
              </c:strCache>
            </c:strRef>
          </c:cat>
          <c:val>
            <c:numRef>
              <c:f>ARM!$D$64:$D$68</c:f>
              <c:numCache>
                <c:formatCode>_(* #,##0_);_(* \(#,##0\);_(* "-"??_);_(@_)</c:formatCode>
                <c:ptCount val="5"/>
                <c:pt idx="0">
                  <c:v>1088</c:v>
                </c:pt>
                <c:pt idx="1">
                  <c:v>657</c:v>
                </c:pt>
                <c:pt idx="2">
                  <c:v>359</c:v>
                </c:pt>
                <c:pt idx="3">
                  <c:v>240</c:v>
                </c:pt>
                <c:pt idx="4">
                  <c:v>333</c:v>
                </c:pt>
              </c:numCache>
            </c:numRef>
          </c:val>
          <c:extLst>
            <c:ext xmlns:c16="http://schemas.microsoft.com/office/drawing/2014/chart" uri="{C3380CC4-5D6E-409C-BE32-E72D297353CC}">
              <c16:uniqueId val="{00000005-12C2-4843-98F9-BDA344A8550A}"/>
            </c:ext>
          </c:extLst>
        </c:ser>
        <c:ser>
          <c:idx val="3"/>
          <c:order val="3"/>
          <c:tx>
            <c:v>2021</c:v>
          </c:tx>
          <c:spPr>
            <a:solidFill>
              <a:srgbClr val="ADADAD"/>
            </a:solidFill>
            <a:ln>
              <a:noFill/>
            </a:ln>
            <a:effectLst/>
          </c:spPr>
          <c:invertIfNegative val="0"/>
          <c:cat>
            <c:strRef>
              <c:f>ARM!$A$64:$A$68</c:f>
              <c:strCache>
                <c:ptCount val="5"/>
                <c:pt idx="0">
                  <c:v>UNITED STATES OF AMERICA</c:v>
                </c:pt>
                <c:pt idx="1">
                  <c:v>PRC</c:v>
                </c:pt>
                <c:pt idx="2">
                  <c:v>TAIWAN</c:v>
                </c:pt>
                <c:pt idx="3">
                  <c:v>REPUBLIC OF KOREA</c:v>
                </c:pt>
                <c:pt idx="4">
                  <c:v>OTHER</c:v>
                </c:pt>
              </c:strCache>
            </c:strRef>
          </c:cat>
          <c:val>
            <c:numRef>
              <c:f>ARM!$E$64:$E$68</c:f>
              <c:numCache>
                <c:formatCode>_(* #,##0_);_(* \(#,##0\);_(* "-"??_);_(@_)</c:formatCode>
                <c:ptCount val="5"/>
                <c:pt idx="0">
                  <c:v>1242</c:v>
                </c:pt>
                <c:pt idx="1">
                  <c:v>476</c:v>
                </c:pt>
                <c:pt idx="2">
                  <c:v>431</c:v>
                </c:pt>
                <c:pt idx="3">
                  <c:v>226</c:v>
                </c:pt>
                <c:pt idx="4">
                  <c:v>327</c:v>
                </c:pt>
              </c:numCache>
            </c:numRef>
          </c:val>
          <c:extLst>
            <c:ext xmlns:c16="http://schemas.microsoft.com/office/drawing/2014/chart" uri="{C3380CC4-5D6E-409C-BE32-E72D297353CC}">
              <c16:uniqueId val="{00000007-12C2-4843-98F9-BDA344A8550A}"/>
            </c:ext>
          </c:extLst>
        </c:ser>
        <c:ser>
          <c:idx val="4"/>
          <c:order val="4"/>
          <c:tx>
            <c:v>2020</c:v>
          </c:tx>
          <c:spPr>
            <a:solidFill>
              <a:srgbClr val="F1A983"/>
            </a:solidFill>
            <a:ln>
              <a:noFill/>
            </a:ln>
            <a:effectLst/>
          </c:spPr>
          <c:invertIfNegative val="0"/>
          <c:cat>
            <c:strRef>
              <c:f>ARM!$A$64:$A$68</c:f>
              <c:strCache>
                <c:ptCount val="5"/>
                <c:pt idx="0">
                  <c:v>UNITED STATES OF AMERICA</c:v>
                </c:pt>
                <c:pt idx="1">
                  <c:v>PRC</c:v>
                </c:pt>
                <c:pt idx="2">
                  <c:v>TAIWAN</c:v>
                </c:pt>
                <c:pt idx="3">
                  <c:v>REPUBLIC OF KOREA</c:v>
                </c:pt>
                <c:pt idx="4">
                  <c:v>OTHER</c:v>
                </c:pt>
              </c:strCache>
            </c:strRef>
          </c:cat>
          <c:val>
            <c:numRef>
              <c:f>ARM!$F$64:$F$68</c:f>
              <c:numCache>
                <c:formatCode>_(* #,##0_);_(* \(#,##0\);_(* "-"??_);_(@_)</c:formatCode>
                <c:ptCount val="5"/>
                <c:pt idx="0">
                  <c:v>821</c:v>
                </c:pt>
                <c:pt idx="1">
                  <c:v>503</c:v>
                </c:pt>
                <c:pt idx="2">
                  <c:v>378</c:v>
                </c:pt>
                <c:pt idx="3">
                  <c:v>214</c:v>
                </c:pt>
                <c:pt idx="4">
                  <c:v>125</c:v>
                </c:pt>
              </c:numCache>
            </c:numRef>
          </c:val>
          <c:extLst>
            <c:ext xmlns:c16="http://schemas.microsoft.com/office/drawing/2014/chart" uri="{C3380CC4-5D6E-409C-BE32-E72D297353CC}">
              <c16:uniqueId val="{00000009-12C2-4843-98F9-BDA344A8550A}"/>
            </c:ext>
          </c:extLst>
        </c:ser>
        <c:dLbls>
          <c:showLegendKey val="0"/>
          <c:showVal val="0"/>
          <c:showCatName val="0"/>
          <c:showSerName val="0"/>
          <c:showPercent val="0"/>
          <c:showBubbleSize val="0"/>
        </c:dLbls>
        <c:gapWidth val="219"/>
        <c:overlap val="-27"/>
        <c:axId val="481226760"/>
        <c:axId val="481228808"/>
      </c:barChart>
      <c:catAx>
        <c:axId val="48122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28808"/>
        <c:crosses val="autoZero"/>
        <c:auto val="1"/>
        <c:lblAlgn val="ctr"/>
        <c:lblOffset val="100"/>
        <c:noMultiLvlLbl val="0"/>
      </c:catAx>
      <c:valAx>
        <c:axId val="4812288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26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TSMC!$A$15</c:f>
              <c:strCache>
                <c:ptCount val="1"/>
                <c:pt idx="0">
                  <c:v>Gross Profit Margin</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(TSMC!$F$13,TSMC!$E$13,TSMC!$D$13,TSMC!$C$13,TSMC!$B$13)</c:f>
              <c:strCache>
                <c:ptCount val="5"/>
                <c:pt idx="0">
                  <c:v>FY2020</c:v>
                </c:pt>
                <c:pt idx="1">
                  <c:v>FY2021</c:v>
                </c:pt>
                <c:pt idx="2">
                  <c:v>FY2022</c:v>
                </c:pt>
                <c:pt idx="3">
                  <c:v>FY2023</c:v>
                </c:pt>
                <c:pt idx="4">
                  <c:v>FY2024</c:v>
                </c:pt>
              </c:strCache>
            </c:strRef>
          </c:cat>
          <c:val>
            <c:numRef>
              <c:f>(TSMC!$F$15,TSMC!$E$15,TSMC!$D$15,TSMC!$C$15,TSMC!$B$15)</c:f>
              <c:numCache>
                <c:formatCode>0.00%</c:formatCode>
                <c:ptCount val="5"/>
                <c:pt idx="0">
                  <c:v>0.53094900321063243</c:v>
                </c:pt>
                <c:pt idx="1">
                  <c:v>0.51625299231447652</c:v>
                </c:pt>
                <c:pt idx="2">
                  <c:v>0.59560934670259291</c:v>
                </c:pt>
                <c:pt idx="3">
                  <c:v>0.54359994448813431</c:v>
                </c:pt>
                <c:pt idx="4">
                  <c:v>0.56120650934595584</c:v>
                </c:pt>
              </c:numCache>
            </c:numRef>
          </c:val>
          <c:smooth val="0"/>
          <c:extLst>
            <c:ext xmlns:c16="http://schemas.microsoft.com/office/drawing/2014/chart" uri="{C3380CC4-5D6E-409C-BE32-E72D297353CC}">
              <c16:uniqueId val="{00000000-51B1-4648-8C1D-4BF8EBD768D1}"/>
            </c:ext>
          </c:extLst>
        </c:ser>
        <c:dLbls>
          <c:showLegendKey val="0"/>
          <c:showVal val="0"/>
          <c:showCatName val="0"/>
          <c:showSerName val="0"/>
          <c:showPercent val="0"/>
          <c:showBubbleSize val="0"/>
        </c:dLbls>
        <c:marker val="1"/>
        <c:smooth val="0"/>
        <c:axId val="1717664264"/>
        <c:axId val="1717674504"/>
      </c:lineChart>
      <c:catAx>
        <c:axId val="171766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74504"/>
        <c:crosses val="autoZero"/>
        <c:auto val="1"/>
        <c:lblAlgn val="ctr"/>
        <c:lblOffset val="100"/>
        <c:noMultiLvlLbl val="0"/>
      </c:catAx>
      <c:valAx>
        <c:axId val="1717674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64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TSMC!$A$14</c:f>
              <c:strCache>
                <c:ptCount val="1"/>
                <c:pt idx="0">
                  <c:v>Operating Margin</c:v>
                </c:pt>
              </c:strCache>
            </c:strRef>
          </c:tx>
          <c:spPr>
            <a:ln w="28575" cap="rnd">
              <a:solidFill>
                <a:srgbClr val="E97132"/>
              </a:solidFill>
              <a:prstDash val="solid"/>
              <a:round/>
            </a:ln>
            <a:effectLst/>
          </c:spPr>
          <c:marker>
            <c:symbol val="none"/>
          </c:marker>
          <c:cat>
            <c:strRef>
              <c:f>(TSMC!$F$13,TSMC!$E$13,TSMC!$D$13,TSMC!$C$13,TSMC!$B$13)</c:f>
              <c:strCache>
                <c:ptCount val="5"/>
                <c:pt idx="0">
                  <c:v>FY2020</c:v>
                </c:pt>
                <c:pt idx="1">
                  <c:v>FY2021</c:v>
                </c:pt>
                <c:pt idx="2">
                  <c:v>FY2022</c:v>
                </c:pt>
                <c:pt idx="3">
                  <c:v>FY2023</c:v>
                </c:pt>
                <c:pt idx="4">
                  <c:v>FY2024</c:v>
                </c:pt>
              </c:strCache>
            </c:strRef>
          </c:cat>
          <c:val>
            <c:numRef>
              <c:f>(TSMC!$F$14,TSMC!$E$14,TSMC!$D$14,TSMC!$C$14,TSMC!$B$14)</c:f>
              <c:numCache>
                <c:formatCode>0.00%</c:formatCode>
                <c:ptCount val="5"/>
                <c:pt idx="0">
                  <c:v>0.42320615246770699</c:v>
                </c:pt>
                <c:pt idx="1">
                  <c:v>0.4094746125740204</c:v>
                </c:pt>
                <c:pt idx="2">
                  <c:v>0.49529572860992088</c:v>
                </c:pt>
                <c:pt idx="3">
                  <c:v>0.42628486839061852</c:v>
                </c:pt>
                <c:pt idx="4">
                  <c:v>0.45679438897142655</c:v>
                </c:pt>
              </c:numCache>
            </c:numRef>
          </c:val>
          <c:smooth val="0"/>
          <c:extLst>
            <c:ext xmlns:c16="http://schemas.microsoft.com/office/drawing/2014/chart" uri="{C3380CC4-5D6E-409C-BE32-E72D297353CC}">
              <c16:uniqueId val="{00000000-CD19-4B33-98C5-9DEFF36BA6F7}"/>
            </c:ext>
          </c:extLst>
        </c:ser>
        <c:dLbls>
          <c:showLegendKey val="0"/>
          <c:showVal val="0"/>
          <c:showCatName val="0"/>
          <c:showSerName val="0"/>
          <c:showPercent val="0"/>
          <c:showBubbleSize val="0"/>
        </c:dLbls>
        <c:smooth val="0"/>
        <c:axId val="72784391"/>
        <c:axId val="65647623"/>
      </c:lineChart>
      <c:catAx>
        <c:axId val="72784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7623"/>
        <c:crosses val="autoZero"/>
        <c:auto val="1"/>
        <c:lblAlgn val="ctr"/>
        <c:lblOffset val="100"/>
        <c:noMultiLvlLbl val="0"/>
      </c:catAx>
      <c:valAx>
        <c:axId val="65647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4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TSMC!$A$16</c:f>
              <c:strCache>
                <c:ptCount val="1"/>
                <c:pt idx="0">
                  <c:v>Net Profit Margin</c:v>
                </c:pt>
              </c:strCache>
            </c:strRef>
          </c:tx>
          <c:spPr>
            <a:ln w="28575" cap="rnd">
              <a:solidFill>
                <a:srgbClr val="D86DCD"/>
              </a:solidFill>
              <a:prstDash val="solid"/>
              <a:round/>
            </a:ln>
            <a:effectLst/>
          </c:spPr>
          <c:marker>
            <c:symbol val="none"/>
          </c:marker>
          <c:cat>
            <c:strRef>
              <c:f>(TSMC!$F$13,TSMC!$E$13,TSMC!$D$13,TSMC!$C$13,TSMC!$B$13)</c:f>
              <c:strCache>
                <c:ptCount val="5"/>
                <c:pt idx="0">
                  <c:v>FY2020</c:v>
                </c:pt>
                <c:pt idx="1">
                  <c:v>FY2021</c:v>
                </c:pt>
                <c:pt idx="2">
                  <c:v>FY2022</c:v>
                </c:pt>
                <c:pt idx="3">
                  <c:v>FY2023</c:v>
                </c:pt>
                <c:pt idx="4">
                  <c:v>FY2024</c:v>
                </c:pt>
              </c:strCache>
            </c:strRef>
          </c:cat>
          <c:val>
            <c:numRef>
              <c:f>(TSMC!$F$16,TSMC!$E$16,TSMC!$D$16,TSMC!$C$16,TSMC!$B$16)</c:f>
              <c:numCache>
                <c:formatCode>0.00%</c:formatCode>
                <c:ptCount val="5"/>
                <c:pt idx="0">
                  <c:v>0.3860225490928097</c:v>
                </c:pt>
                <c:pt idx="1">
                  <c:v>0.37608668262567718</c:v>
                </c:pt>
                <c:pt idx="2">
                  <c:v>0.44878307345730817</c:v>
                </c:pt>
                <c:pt idx="3">
                  <c:v>0.38164407642133508</c:v>
                </c:pt>
                <c:pt idx="4">
                  <c:v>0.35103479252323533</c:v>
                </c:pt>
              </c:numCache>
            </c:numRef>
          </c:val>
          <c:smooth val="0"/>
          <c:extLst>
            <c:ext xmlns:c16="http://schemas.microsoft.com/office/drawing/2014/chart" uri="{C3380CC4-5D6E-409C-BE32-E72D297353CC}">
              <c16:uniqueId val="{00000000-8627-4B78-987F-7CA66C148372}"/>
            </c:ext>
          </c:extLst>
        </c:ser>
        <c:dLbls>
          <c:showLegendKey val="0"/>
          <c:showVal val="0"/>
          <c:showCatName val="0"/>
          <c:showSerName val="0"/>
          <c:showPercent val="0"/>
          <c:showBubbleSize val="0"/>
        </c:dLbls>
        <c:smooth val="0"/>
        <c:axId val="78881287"/>
        <c:axId val="78883335"/>
      </c:lineChart>
      <c:catAx>
        <c:axId val="78881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3335"/>
        <c:crosses val="autoZero"/>
        <c:auto val="1"/>
        <c:lblAlgn val="ctr"/>
        <c:lblOffset val="100"/>
        <c:noMultiLvlLbl val="0"/>
      </c:catAx>
      <c:valAx>
        <c:axId val="78883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1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Operating Efficiency (Unit: NT$ billion)</a:t>
            </a:r>
          </a:p>
        </c:rich>
      </c:tx>
      <c:layout>
        <c:manualLayout>
          <c:xMode val="edge"/>
          <c:yMode val="edge"/>
          <c:x val="0.13732979806095669"/>
          <c:y val="3.0651340996168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TSMC!$A$4</c:f>
              <c:strCache>
                <c:ptCount val="1"/>
                <c:pt idx="0">
                  <c:v>Revenue (Total Sales)</c:v>
                </c:pt>
              </c:strCache>
            </c:strRef>
          </c:tx>
          <c:spPr>
            <a:ln w="28575" cap="rnd">
              <a:solidFill>
                <a:srgbClr val="637CEF"/>
              </a:solidFill>
              <a:round/>
            </a:ln>
            <a:effectLst/>
          </c:spPr>
          <c:marker>
            <c:symbol val="none"/>
          </c:marker>
          <c:cat>
            <c:strRef>
              <c:f>(TSMC!$F$3,TSMC!$E$3,TSMC!$D$3,TSMC!$C$3,TSMC!$B$3)</c:f>
              <c:strCache>
                <c:ptCount val="5"/>
                <c:pt idx="0">
                  <c:v>FY2020</c:v>
                </c:pt>
                <c:pt idx="1">
                  <c:v>FY2021</c:v>
                </c:pt>
                <c:pt idx="2">
                  <c:v>FY2022</c:v>
                </c:pt>
                <c:pt idx="3">
                  <c:v>FY2023</c:v>
                </c:pt>
                <c:pt idx="4">
                  <c:v>FY2024</c:v>
                </c:pt>
              </c:strCache>
            </c:strRef>
          </c:cat>
          <c:val>
            <c:numRef>
              <c:f>TSMC!$B$4:$F$4</c:f>
              <c:numCache>
                <c:formatCode>_(* #,##0.00_);_(* \(#,##0.00\);_(* "-"??_);_(@_)</c:formatCode>
                <c:ptCount val="5"/>
                <c:pt idx="0">
                  <c:v>2894.3</c:v>
                </c:pt>
                <c:pt idx="1">
                  <c:v>2161.6999999999998</c:v>
                </c:pt>
                <c:pt idx="2">
                  <c:v>2263.9</c:v>
                </c:pt>
                <c:pt idx="3">
                  <c:v>1587.4</c:v>
                </c:pt>
                <c:pt idx="4">
                  <c:v>1339.3</c:v>
                </c:pt>
              </c:numCache>
            </c:numRef>
          </c:val>
          <c:smooth val="0"/>
          <c:extLst>
            <c:ext xmlns:c16="http://schemas.microsoft.com/office/drawing/2014/chart" uri="{C3380CC4-5D6E-409C-BE32-E72D297353CC}">
              <c16:uniqueId val="{00000000-87D2-4323-8BE3-4A8D53381E39}"/>
            </c:ext>
          </c:extLst>
        </c:ser>
        <c:ser>
          <c:idx val="1"/>
          <c:order val="1"/>
          <c:tx>
            <c:strRef>
              <c:f>TSMC!$A$5</c:f>
              <c:strCache>
                <c:ptCount val="1"/>
                <c:pt idx="0">
                  <c:v>Cost of sales</c:v>
                </c:pt>
              </c:strCache>
            </c:strRef>
          </c:tx>
          <c:spPr>
            <a:ln w="28575" cap="rnd">
              <a:solidFill>
                <a:srgbClr val="E3008C"/>
              </a:solidFill>
              <a:round/>
            </a:ln>
            <a:effectLst/>
          </c:spPr>
          <c:marker>
            <c:symbol val="none"/>
          </c:marker>
          <c:cat>
            <c:strRef>
              <c:f>(TSMC!$F$3,TSMC!$E$3,TSMC!$D$3,TSMC!$C$3,TSMC!$B$3)</c:f>
              <c:strCache>
                <c:ptCount val="5"/>
                <c:pt idx="0">
                  <c:v>FY2020</c:v>
                </c:pt>
                <c:pt idx="1">
                  <c:v>FY2021</c:v>
                </c:pt>
                <c:pt idx="2">
                  <c:v>FY2022</c:v>
                </c:pt>
                <c:pt idx="3">
                  <c:v>FY2023</c:v>
                </c:pt>
                <c:pt idx="4">
                  <c:v>FY2024</c:v>
                </c:pt>
              </c:strCache>
            </c:strRef>
          </c:cat>
          <c:val>
            <c:numRef>
              <c:f>TSMC!$B$5:$F$5</c:f>
              <c:numCache>
                <c:formatCode>_(* #,##0.00_);_(* \(#,##0.00\);_(* "-"??_);_(@_)</c:formatCode>
                <c:ptCount val="5"/>
                <c:pt idx="0">
                  <c:v>1270</c:v>
                </c:pt>
                <c:pt idx="1">
                  <c:v>986.6</c:v>
                </c:pt>
                <c:pt idx="2">
                  <c:v>915.5</c:v>
                </c:pt>
                <c:pt idx="3">
                  <c:v>767.9</c:v>
                </c:pt>
                <c:pt idx="4">
                  <c:v>628.1</c:v>
                </c:pt>
              </c:numCache>
            </c:numRef>
          </c:val>
          <c:smooth val="0"/>
          <c:extLst>
            <c:ext xmlns:c16="http://schemas.microsoft.com/office/drawing/2014/chart" uri="{C3380CC4-5D6E-409C-BE32-E72D297353CC}">
              <c16:uniqueId val="{00000002-87D2-4323-8BE3-4A8D53381E39}"/>
            </c:ext>
          </c:extLst>
        </c:ser>
        <c:dLbls>
          <c:showLegendKey val="0"/>
          <c:showVal val="0"/>
          <c:showCatName val="0"/>
          <c:showSerName val="0"/>
          <c:showPercent val="0"/>
          <c:showBubbleSize val="0"/>
        </c:dLbls>
        <c:smooth val="0"/>
        <c:axId val="1562180616"/>
        <c:axId val="1573454856"/>
      </c:lineChart>
      <c:catAx>
        <c:axId val="156218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454856"/>
        <c:crosses val="autoZero"/>
        <c:auto val="1"/>
        <c:lblAlgn val="ctr"/>
        <c:lblOffset val="100"/>
        <c:noMultiLvlLbl val="0"/>
      </c:catAx>
      <c:valAx>
        <c:axId val="15734548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180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TSMC!$A$31</c:f>
              <c:strCache>
                <c:ptCount val="1"/>
                <c:pt idx="0">
                  <c:v>Total Operating Expenses</c:v>
                </c:pt>
              </c:strCache>
            </c:strRef>
          </c:tx>
          <c:spPr>
            <a:ln w="28575" cap="rnd">
              <a:solidFill>
                <a:srgbClr val="7030A0"/>
              </a:solidFill>
              <a:prstDash val="solid"/>
              <a:round/>
            </a:ln>
            <a:effectLst/>
          </c:spPr>
          <c:marker>
            <c:symbol val="none"/>
          </c:marker>
          <c:cat>
            <c:strRef>
              <c:f>(TSMC!$F$27,TSMC!$E$27,TSMC!$D$27,TSMC!$C$27,TSMC!$B$27)</c:f>
              <c:strCache>
                <c:ptCount val="5"/>
                <c:pt idx="0">
                  <c:v>FY2020</c:v>
                </c:pt>
                <c:pt idx="1">
                  <c:v>FY2021</c:v>
                </c:pt>
                <c:pt idx="2">
                  <c:v>FY2022</c:v>
                </c:pt>
                <c:pt idx="3">
                  <c:v>FY2023</c:v>
                </c:pt>
                <c:pt idx="4">
                  <c:v>FY2024</c:v>
                </c:pt>
              </c:strCache>
            </c:strRef>
          </c:cat>
          <c:val>
            <c:numRef>
              <c:f>(TSMC!$F$31,TSMC!$E$31,TSMC!$D$31,TSMC!$C$31,TSMC!$B$31)</c:f>
              <c:numCache>
                <c:formatCode>_(* #,##0.00_);_(* \(#,##0.00\);_(* "-"??_);_(@_)</c:formatCode>
                <c:ptCount val="5"/>
                <c:pt idx="0">
                  <c:v>125.3</c:v>
                </c:pt>
                <c:pt idx="1">
                  <c:v>148.5</c:v>
                </c:pt>
                <c:pt idx="2">
                  <c:v>205</c:v>
                </c:pt>
                <c:pt idx="3">
                  <c:v>226.59999999999997</c:v>
                </c:pt>
                <c:pt idx="4">
                  <c:v>252.60000000000002</c:v>
                </c:pt>
              </c:numCache>
            </c:numRef>
          </c:val>
          <c:smooth val="0"/>
          <c:extLst>
            <c:ext xmlns:c16="http://schemas.microsoft.com/office/drawing/2014/chart" uri="{C3380CC4-5D6E-409C-BE32-E72D297353CC}">
              <c16:uniqueId val="{00000000-692C-475E-9CF3-5B4B515FE74D}"/>
            </c:ext>
          </c:extLst>
        </c:ser>
        <c:dLbls>
          <c:showLegendKey val="0"/>
          <c:showVal val="0"/>
          <c:showCatName val="0"/>
          <c:showSerName val="0"/>
          <c:showPercent val="0"/>
          <c:showBubbleSize val="0"/>
        </c:dLbls>
        <c:smooth val="0"/>
        <c:axId val="1323068936"/>
        <c:axId val="1325357576"/>
      </c:lineChart>
      <c:catAx>
        <c:axId val="132306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57576"/>
        <c:crosses val="autoZero"/>
        <c:auto val="1"/>
        <c:lblAlgn val="ctr"/>
        <c:lblOffset val="100"/>
        <c:noMultiLvlLbl val="0"/>
      </c:catAx>
      <c:valAx>
        <c:axId val="13253575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6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operating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TSMC!$A$28</c:f>
              <c:strCache>
                <c:ptCount val="1"/>
                <c:pt idx="0">
                  <c:v>R&amp;D ( research and development expenses)</c:v>
                </c:pt>
              </c:strCache>
            </c:strRef>
          </c:tx>
          <c:spPr>
            <a:solidFill>
              <a:srgbClr val="637CEF"/>
            </a:solidFill>
            <a:ln>
              <a:noFill/>
            </a:ln>
            <a:effectLst/>
          </c:spPr>
          <c:invertIfNegative val="0"/>
          <c:cat>
            <c:strRef>
              <c:f>TSMC!$B$27:$F$27</c:f>
              <c:strCache>
                <c:ptCount val="5"/>
                <c:pt idx="0">
                  <c:v>FY2024</c:v>
                </c:pt>
                <c:pt idx="1">
                  <c:v>FY2023</c:v>
                </c:pt>
                <c:pt idx="2">
                  <c:v>FY2022</c:v>
                </c:pt>
                <c:pt idx="3">
                  <c:v>FY2021</c:v>
                </c:pt>
                <c:pt idx="4">
                  <c:v>FY2020</c:v>
                </c:pt>
              </c:strCache>
            </c:strRef>
          </c:cat>
          <c:val>
            <c:numRef>
              <c:f>TSMC!$B$28:$F$28</c:f>
              <c:numCache>
                <c:formatCode>_(* #,##0.00_);_(* \(#,##0.00\);_(* "-"??_);_(@_)</c:formatCode>
                <c:ptCount val="5"/>
                <c:pt idx="0">
                  <c:v>198.9</c:v>
                </c:pt>
                <c:pt idx="1">
                  <c:v>179.6</c:v>
                </c:pt>
                <c:pt idx="2">
                  <c:v>163.9</c:v>
                </c:pt>
                <c:pt idx="3">
                  <c:v>115.5</c:v>
                </c:pt>
                <c:pt idx="4">
                  <c:v>97.1</c:v>
                </c:pt>
              </c:numCache>
            </c:numRef>
          </c:val>
          <c:extLst>
            <c:ext xmlns:c16="http://schemas.microsoft.com/office/drawing/2014/chart" uri="{C3380CC4-5D6E-409C-BE32-E72D297353CC}">
              <c16:uniqueId val="{00000000-A317-4F3D-8807-B5C4447089EA}"/>
            </c:ext>
          </c:extLst>
        </c:ser>
        <c:ser>
          <c:idx val="1"/>
          <c:order val="1"/>
          <c:tx>
            <c:strRef>
              <c:f>TSMC!$A$29</c:f>
              <c:strCache>
                <c:ptCount val="1"/>
                <c:pt idx="0">
                  <c:v>G&amp;A ( general and administrative expenses)</c:v>
                </c:pt>
              </c:strCache>
            </c:strRef>
          </c:tx>
          <c:spPr>
            <a:solidFill>
              <a:srgbClr val="E3008C"/>
            </a:solidFill>
            <a:ln>
              <a:noFill/>
            </a:ln>
            <a:effectLst/>
          </c:spPr>
          <c:invertIfNegative val="0"/>
          <c:cat>
            <c:strRef>
              <c:f>TSMC!$B$27:$F$27</c:f>
              <c:strCache>
                <c:ptCount val="5"/>
                <c:pt idx="0">
                  <c:v>FY2024</c:v>
                </c:pt>
                <c:pt idx="1">
                  <c:v>FY2023</c:v>
                </c:pt>
                <c:pt idx="2">
                  <c:v>FY2022</c:v>
                </c:pt>
                <c:pt idx="3">
                  <c:v>FY2021</c:v>
                </c:pt>
                <c:pt idx="4">
                  <c:v>FY2020</c:v>
                </c:pt>
              </c:strCache>
            </c:strRef>
          </c:cat>
          <c:val>
            <c:numRef>
              <c:f>TSMC!$B$29:$F$29</c:f>
              <c:numCache>
                <c:formatCode>_(* #,##0.00_);_(* \(#,##0.00\);_(* "-"??_);_(@_)</c:formatCode>
                <c:ptCount val="5"/>
                <c:pt idx="0">
                  <c:v>54.9</c:v>
                </c:pt>
                <c:pt idx="1">
                  <c:v>46.8</c:v>
                </c:pt>
                <c:pt idx="2">
                  <c:v>41.5</c:v>
                </c:pt>
                <c:pt idx="3">
                  <c:v>33.299999999999997</c:v>
                </c:pt>
                <c:pt idx="4">
                  <c:v>28.4</c:v>
                </c:pt>
              </c:numCache>
            </c:numRef>
          </c:val>
          <c:extLst>
            <c:ext xmlns:c16="http://schemas.microsoft.com/office/drawing/2014/chart" uri="{C3380CC4-5D6E-409C-BE32-E72D297353CC}">
              <c16:uniqueId val="{00000002-A317-4F3D-8807-B5C4447089EA}"/>
            </c:ext>
          </c:extLst>
        </c:ser>
        <c:dLbls>
          <c:showLegendKey val="0"/>
          <c:showVal val="0"/>
          <c:showCatName val="0"/>
          <c:showSerName val="0"/>
          <c:showPercent val="0"/>
          <c:showBubbleSize val="0"/>
        </c:dLbls>
        <c:gapWidth val="219"/>
        <c:overlap val="-27"/>
        <c:axId val="738570760"/>
        <c:axId val="738572808"/>
      </c:barChart>
      <c:catAx>
        <c:axId val="7385707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72808"/>
        <c:crosses val="autoZero"/>
        <c:auto val="1"/>
        <c:lblAlgn val="ctr"/>
        <c:lblOffset val="100"/>
        <c:noMultiLvlLbl val="0"/>
      </c:catAx>
      <c:valAx>
        <c:axId val="738572808"/>
        <c:scaling>
          <c:orientation val="minMax"/>
        </c:scaling>
        <c:delete val="0"/>
        <c:axPos val="r"/>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70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TSMC!$A$44</c:f>
              <c:strCache>
                <c:ptCount val="1"/>
                <c:pt idx="0">
                  <c:v>Free Cash Flow (FCF = CFO - CFInv)</c:v>
                </c:pt>
              </c:strCache>
            </c:strRef>
          </c:tx>
          <c:spPr>
            <a:solidFill>
              <a:srgbClr val="637CEF"/>
            </a:solidFill>
            <a:ln>
              <a:noFill/>
            </a:ln>
            <a:effectLst/>
          </c:spPr>
          <c:invertIfNegative val="0"/>
          <c:cat>
            <c:strRef>
              <c:f>(TSMC!$F$40,TSMC!$E$40,TSMC!$D$40,TSMC!$C$40,TSMC!$B$40)</c:f>
              <c:strCache>
                <c:ptCount val="5"/>
                <c:pt idx="0">
                  <c:v>FY2020</c:v>
                </c:pt>
                <c:pt idx="1">
                  <c:v>FY2021</c:v>
                </c:pt>
                <c:pt idx="2">
                  <c:v>FY2022</c:v>
                </c:pt>
                <c:pt idx="3">
                  <c:v>FY2023</c:v>
                </c:pt>
                <c:pt idx="4">
                  <c:v>FY2024</c:v>
                </c:pt>
              </c:strCache>
            </c:strRef>
          </c:cat>
          <c:val>
            <c:numRef>
              <c:f>(TSMC!$F$44,TSMC!$E$44,TSMC!$D$44,TSMC!$C$44,TSMC!$B$44)</c:f>
              <c:numCache>
                <c:formatCode>_(* #,##0.00_);_(* \(#,##0.00\);_(* "-"??_);_(@_)</c:formatCode>
                <c:ptCount val="5"/>
                <c:pt idx="0">
                  <c:v>316.90000000000003</c:v>
                </c:pt>
                <c:pt idx="1">
                  <c:v>275.80000000000007</c:v>
                </c:pt>
                <c:pt idx="2">
                  <c:v>419.69999999999982</c:v>
                </c:pt>
                <c:pt idx="3">
                  <c:v>335.9</c:v>
                </c:pt>
                <c:pt idx="4">
                  <c:v>811.30000000000007</c:v>
                </c:pt>
              </c:numCache>
            </c:numRef>
          </c:val>
          <c:extLst>
            <c:ext xmlns:c16="http://schemas.microsoft.com/office/drawing/2014/chart" uri="{C3380CC4-5D6E-409C-BE32-E72D297353CC}">
              <c16:uniqueId val="{00000000-EA2A-44E0-BFBD-A7DE12B84BA2}"/>
            </c:ext>
          </c:extLst>
        </c:ser>
        <c:dLbls>
          <c:showLegendKey val="0"/>
          <c:showVal val="0"/>
          <c:showCatName val="0"/>
          <c:showSerName val="0"/>
          <c:showPercent val="0"/>
          <c:showBubbleSize val="0"/>
        </c:dLbls>
        <c:gapWidth val="150"/>
        <c:axId val="630613000"/>
        <c:axId val="630615048"/>
      </c:barChart>
      <c:catAx>
        <c:axId val="630613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15048"/>
        <c:crosses val="autoZero"/>
        <c:auto val="1"/>
        <c:lblAlgn val="ctr"/>
        <c:lblOffset val="100"/>
        <c:noMultiLvlLbl val="0"/>
      </c:catAx>
      <c:valAx>
        <c:axId val="63061504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13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year-on-year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TSMC!$A$20</c:f>
              <c:strCache>
                <c:ptCount val="1"/>
                <c:pt idx="0">
                  <c:v>Revenue</c:v>
                </c:pt>
              </c:strCache>
            </c:strRef>
          </c:tx>
          <c:spPr>
            <a:ln w="28575" cap="rnd">
              <a:solidFill>
                <a:srgbClr val="637CEF"/>
              </a:solidFill>
              <a:round/>
            </a:ln>
            <a:effectLst/>
          </c:spPr>
          <c:marker>
            <c:symbol val="none"/>
          </c:marker>
          <c:cat>
            <c:strRef>
              <c:f>TSMC!$B$19:$E$19</c:f>
              <c:strCache>
                <c:ptCount val="4"/>
                <c:pt idx="0">
                  <c:v>FY2024-23</c:v>
                </c:pt>
                <c:pt idx="1">
                  <c:v>FY2023-22</c:v>
                </c:pt>
                <c:pt idx="2">
                  <c:v>FY2022-21</c:v>
                </c:pt>
                <c:pt idx="3">
                  <c:v>FY2021-20</c:v>
                </c:pt>
              </c:strCache>
            </c:strRef>
          </c:cat>
          <c:val>
            <c:numRef>
              <c:f>TSMC!$B$20:$E$20</c:f>
              <c:numCache>
                <c:formatCode>0.00%</c:formatCode>
                <c:ptCount val="4"/>
                <c:pt idx="0">
                  <c:v>0.33889993986214573</c:v>
                </c:pt>
                <c:pt idx="1">
                  <c:v>-4.5143336719819849E-2</c:v>
                </c:pt>
                <c:pt idx="2">
                  <c:v>0.42616857754819204</c:v>
                </c:pt>
                <c:pt idx="3">
                  <c:v>0.18524602404241031</c:v>
                </c:pt>
              </c:numCache>
            </c:numRef>
          </c:val>
          <c:smooth val="0"/>
          <c:extLst>
            <c:ext xmlns:c16="http://schemas.microsoft.com/office/drawing/2014/chart" uri="{C3380CC4-5D6E-409C-BE32-E72D297353CC}">
              <c16:uniqueId val="{00000000-9A3F-4DB0-93CB-0B2A8B9A601F}"/>
            </c:ext>
          </c:extLst>
        </c:ser>
        <c:ser>
          <c:idx val="1"/>
          <c:order val="1"/>
          <c:tx>
            <c:strRef>
              <c:f>TSMC!$A$21</c:f>
              <c:strCache>
                <c:ptCount val="1"/>
                <c:pt idx="0">
                  <c:v>Cost of sales</c:v>
                </c:pt>
              </c:strCache>
            </c:strRef>
          </c:tx>
          <c:spPr>
            <a:ln w="28575" cap="rnd">
              <a:solidFill>
                <a:srgbClr val="E3008C"/>
              </a:solidFill>
              <a:round/>
            </a:ln>
            <a:effectLst/>
          </c:spPr>
          <c:marker>
            <c:symbol val="none"/>
          </c:marker>
          <c:cat>
            <c:strRef>
              <c:f>TSMC!$B$19:$E$19</c:f>
              <c:strCache>
                <c:ptCount val="4"/>
                <c:pt idx="0">
                  <c:v>FY2024-23</c:v>
                </c:pt>
                <c:pt idx="1">
                  <c:v>FY2023-22</c:v>
                </c:pt>
                <c:pt idx="2">
                  <c:v>FY2022-21</c:v>
                </c:pt>
                <c:pt idx="3">
                  <c:v>FY2021-20</c:v>
                </c:pt>
              </c:strCache>
            </c:strRef>
          </c:cat>
          <c:val>
            <c:numRef>
              <c:f>TSMC!$B$21:$E$21</c:f>
              <c:numCache>
                <c:formatCode>0.00%</c:formatCode>
                <c:ptCount val="4"/>
                <c:pt idx="0">
                  <c:v>0.28724913845530109</c:v>
                </c:pt>
                <c:pt idx="1">
                  <c:v>7.7662479519388317E-2</c:v>
                </c:pt>
                <c:pt idx="2">
                  <c:v>0.19221252767287411</c:v>
                </c:pt>
                <c:pt idx="3">
                  <c:v>0.22257602292628564</c:v>
                </c:pt>
              </c:numCache>
            </c:numRef>
          </c:val>
          <c:smooth val="0"/>
          <c:extLst>
            <c:ext xmlns:c16="http://schemas.microsoft.com/office/drawing/2014/chart" uri="{C3380CC4-5D6E-409C-BE32-E72D297353CC}">
              <c16:uniqueId val="{00000002-9A3F-4DB0-93CB-0B2A8B9A601F}"/>
            </c:ext>
          </c:extLst>
        </c:ser>
        <c:ser>
          <c:idx val="2"/>
          <c:order val="2"/>
          <c:tx>
            <c:strRef>
              <c:f>TSMC!$A$22</c:f>
              <c:strCache>
                <c:ptCount val="1"/>
                <c:pt idx="0">
                  <c:v>Gross profit</c:v>
                </c:pt>
              </c:strCache>
            </c:strRef>
          </c:tx>
          <c:spPr>
            <a:ln w="28575" cap="rnd">
              <a:solidFill>
                <a:srgbClr val="2AA0A4"/>
              </a:solidFill>
              <a:round/>
            </a:ln>
            <a:effectLst/>
          </c:spPr>
          <c:marker>
            <c:symbol val="none"/>
          </c:marker>
          <c:cat>
            <c:strRef>
              <c:f>TSMC!$B$19:$E$19</c:f>
              <c:strCache>
                <c:ptCount val="4"/>
                <c:pt idx="0">
                  <c:v>FY2024-23</c:v>
                </c:pt>
                <c:pt idx="1">
                  <c:v>FY2023-22</c:v>
                </c:pt>
                <c:pt idx="2">
                  <c:v>FY2022-21</c:v>
                </c:pt>
                <c:pt idx="3">
                  <c:v>FY2021-20</c:v>
                </c:pt>
              </c:strCache>
            </c:strRef>
          </c:cat>
          <c:val>
            <c:numRef>
              <c:f>TSMC!$B$22:$E$22</c:f>
              <c:numCache>
                <c:formatCode>0.00%</c:formatCode>
                <c:ptCount val="4"/>
                <c:pt idx="0">
                  <c:v>0.38226533912007499</c:v>
                </c:pt>
                <c:pt idx="1">
                  <c:v>-0.12852269356274115</c:v>
                </c:pt>
                <c:pt idx="2">
                  <c:v>0.64539353264185495</c:v>
                </c:pt>
                <c:pt idx="3">
                  <c:v>0.15243988187315427</c:v>
                </c:pt>
              </c:numCache>
            </c:numRef>
          </c:val>
          <c:smooth val="0"/>
          <c:extLst>
            <c:ext xmlns:c16="http://schemas.microsoft.com/office/drawing/2014/chart" uri="{C3380CC4-5D6E-409C-BE32-E72D297353CC}">
              <c16:uniqueId val="{00000004-9A3F-4DB0-93CB-0B2A8B9A601F}"/>
            </c:ext>
          </c:extLst>
        </c:ser>
        <c:ser>
          <c:idx val="3"/>
          <c:order val="3"/>
          <c:tx>
            <c:strRef>
              <c:f>TSMC!$A$23</c:f>
              <c:strCache>
                <c:ptCount val="1"/>
                <c:pt idx="0">
                  <c:v>Operating profit</c:v>
                </c:pt>
              </c:strCache>
            </c:strRef>
          </c:tx>
          <c:spPr>
            <a:ln w="28575" cap="rnd">
              <a:solidFill>
                <a:srgbClr val="9373C0"/>
              </a:solidFill>
              <a:round/>
            </a:ln>
            <a:effectLst/>
          </c:spPr>
          <c:marker>
            <c:symbol val="none"/>
          </c:marker>
          <c:cat>
            <c:strRef>
              <c:f>TSMC!$B$19:$E$19</c:f>
              <c:strCache>
                <c:ptCount val="4"/>
                <c:pt idx="0">
                  <c:v>FY2024-23</c:v>
                </c:pt>
                <c:pt idx="1">
                  <c:v>FY2023-22</c:v>
                </c:pt>
                <c:pt idx="2">
                  <c:v>FY2022-21</c:v>
                </c:pt>
                <c:pt idx="3">
                  <c:v>FY2021-20</c:v>
                </c:pt>
              </c:strCache>
            </c:strRef>
          </c:cat>
          <c:val>
            <c:numRef>
              <c:f>TSMC!$B$23:$E$23</c:f>
              <c:numCache>
                <c:formatCode>0.00%</c:formatCode>
                <c:ptCount val="4"/>
                <c:pt idx="0">
                  <c:v>0.43472599023331515</c:v>
                </c:pt>
                <c:pt idx="1">
                  <c:v>-0.17818603406760003</c:v>
                </c:pt>
                <c:pt idx="2">
                  <c:v>0.72507692307692295</c:v>
                </c:pt>
                <c:pt idx="3">
                  <c:v>0.14678899082568808</c:v>
                </c:pt>
              </c:numCache>
            </c:numRef>
          </c:val>
          <c:smooth val="0"/>
          <c:extLst>
            <c:ext xmlns:c16="http://schemas.microsoft.com/office/drawing/2014/chart" uri="{C3380CC4-5D6E-409C-BE32-E72D297353CC}">
              <c16:uniqueId val="{00000006-9A3F-4DB0-93CB-0B2A8B9A601F}"/>
            </c:ext>
          </c:extLst>
        </c:ser>
        <c:ser>
          <c:idx val="4"/>
          <c:order val="4"/>
          <c:tx>
            <c:strRef>
              <c:f>TSMC!$A$24</c:f>
              <c:strCache>
                <c:ptCount val="1"/>
                <c:pt idx="0">
                  <c:v>Profit before income taxes</c:v>
                </c:pt>
              </c:strCache>
            </c:strRef>
          </c:tx>
          <c:spPr>
            <a:ln w="28575" cap="rnd">
              <a:solidFill>
                <a:srgbClr val="13A10E"/>
              </a:solidFill>
              <a:round/>
            </a:ln>
            <a:effectLst/>
          </c:spPr>
          <c:marker>
            <c:symbol val="none"/>
          </c:marker>
          <c:cat>
            <c:strRef>
              <c:f>TSMC!$B$19:$E$19</c:f>
              <c:strCache>
                <c:ptCount val="4"/>
                <c:pt idx="0">
                  <c:v>FY2024-23</c:v>
                </c:pt>
                <c:pt idx="1">
                  <c:v>FY2023-22</c:v>
                </c:pt>
                <c:pt idx="2">
                  <c:v>FY2022-21</c:v>
                </c:pt>
                <c:pt idx="3">
                  <c:v>FY2021-20</c:v>
                </c:pt>
              </c:strCache>
            </c:strRef>
          </c:cat>
          <c:val>
            <c:numRef>
              <c:f>TSMC!$B$24:$E$24</c:f>
              <c:numCache>
                <c:formatCode>0.00%</c:formatCode>
                <c:ptCount val="4"/>
                <c:pt idx="0">
                  <c:v>0.43595505617977515</c:v>
                </c:pt>
                <c:pt idx="1">
                  <c:v>-0.14423076923076927</c:v>
                </c:pt>
                <c:pt idx="2">
                  <c:v>0.72522998039511388</c:v>
                </c:pt>
                <c:pt idx="3">
                  <c:v>0.13350427350427352</c:v>
                </c:pt>
              </c:numCache>
            </c:numRef>
          </c:val>
          <c:smooth val="0"/>
          <c:extLst>
            <c:ext xmlns:c16="http://schemas.microsoft.com/office/drawing/2014/chart" uri="{C3380CC4-5D6E-409C-BE32-E72D297353CC}">
              <c16:uniqueId val="{00000008-9A3F-4DB0-93CB-0B2A8B9A601F}"/>
            </c:ext>
          </c:extLst>
        </c:ser>
        <c:dLbls>
          <c:showLegendKey val="0"/>
          <c:showVal val="0"/>
          <c:showCatName val="0"/>
          <c:showSerName val="0"/>
          <c:showPercent val="0"/>
          <c:showBubbleSize val="0"/>
        </c:dLbls>
        <c:smooth val="0"/>
        <c:axId val="1579954183"/>
        <c:axId val="1579956231"/>
      </c:lineChart>
      <c:catAx>
        <c:axId val="157995418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6231"/>
        <c:crosses val="autoZero"/>
        <c:auto val="1"/>
        <c:lblAlgn val="ctr"/>
        <c:lblOffset val="100"/>
        <c:noMultiLvlLbl val="0"/>
      </c:catAx>
      <c:valAx>
        <c:axId val="1579956231"/>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54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TSMC!$A$42</c:f>
              <c:strCache>
                <c:ptCount val="1"/>
                <c:pt idx="0">
                  <c:v>Cash Flow from Investing Activities (CFInv)</c:v>
                </c:pt>
              </c:strCache>
            </c:strRef>
          </c:tx>
          <c:spPr>
            <a:solidFill>
              <a:srgbClr val="637CEF"/>
            </a:solidFill>
            <a:ln>
              <a:noFill/>
            </a:ln>
            <a:effectLst/>
          </c:spPr>
          <c:invertIfNegative val="0"/>
          <c:cat>
            <c:strRef>
              <c:f>TSMC!$B$40:$F$40</c:f>
              <c:strCache>
                <c:ptCount val="5"/>
                <c:pt idx="0">
                  <c:v>FY2024</c:v>
                </c:pt>
                <c:pt idx="1">
                  <c:v>FY2023</c:v>
                </c:pt>
                <c:pt idx="2">
                  <c:v>FY2022</c:v>
                </c:pt>
                <c:pt idx="3">
                  <c:v>FY2021</c:v>
                </c:pt>
                <c:pt idx="4">
                  <c:v>FY2020</c:v>
                </c:pt>
              </c:strCache>
            </c:strRef>
          </c:cat>
          <c:val>
            <c:numRef>
              <c:f>TSMC!$B$42:$F$42</c:f>
              <c:numCache>
                <c:formatCode>_(* #,##0.00_);_(* \(#,##0.00\);_(* "-"??_);_(@_)</c:formatCode>
                <c:ptCount val="5"/>
                <c:pt idx="0">
                  <c:v>-1014.9</c:v>
                </c:pt>
                <c:pt idx="1">
                  <c:v>-906.1</c:v>
                </c:pt>
                <c:pt idx="2">
                  <c:v>-1190.9000000000001</c:v>
                </c:pt>
                <c:pt idx="3">
                  <c:v>-836.4</c:v>
                </c:pt>
                <c:pt idx="4">
                  <c:v>-505.8</c:v>
                </c:pt>
              </c:numCache>
            </c:numRef>
          </c:val>
          <c:extLst>
            <c:ext xmlns:c16="http://schemas.microsoft.com/office/drawing/2014/chart" uri="{C3380CC4-5D6E-409C-BE32-E72D297353CC}">
              <c16:uniqueId val="{00000000-1C32-413A-918C-A8B28DB33778}"/>
            </c:ext>
          </c:extLst>
        </c:ser>
        <c:dLbls>
          <c:showLegendKey val="0"/>
          <c:showVal val="0"/>
          <c:showCatName val="0"/>
          <c:showSerName val="0"/>
          <c:showPercent val="0"/>
          <c:showBubbleSize val="0"/>
        </c:dLbls>
        <c:gapWidth val="219"/>
        <c:overlap val="-27"/>
        <c:axId val="180444680"/>
        <c:axId val="1307649543"/>
      </c:barChart>
      <c:catAx>
        <c:axId val="180444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649543"/>
        <c:crosses val="autoZero"/>
        <c:auto val="1"/>
        <c:lblAlgn val="ctr"/>
        <c:lblOffset val="100"/>
        <c:noMultiLvlLbl val="0"/>
      </c:catAx>
      <c:valAx>
        <c:axId val="130764954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44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sustainability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TSMC!$A$41</c:f>
              <c:strCache>
                <c:ptCount val="1"/>
                <c:pt idx="0">
                  <c:v>Cash Flow from Operating Activities (CFO)</c:v>
                </c:pt>
              </c:strCache>
            </c:strRef>
          </c:tx>
          <c:spPr>
            <a:ln w="19050" cap="rnd">
              <a:solidFill>
                <a:srgbClr val="637CEF"/>
              </a:solidFill>
              <a:round/>
            </a:ln>
            <a:effectLst/>
          </c:spPr>
          <c:marker>
            <c:symbol val="circle"/>
            <c:size val="5"/>
            <c:spPr>
              <a:solidFill>
                <a:srgbClr val="637CEF"/>
              </a:solidFill>
              <a:ln w="9525">
                <a:solidFill>
                  <a:srgbClr val="637CEF"/>
                </a:solidFill>
              </a:ln>
              <a:effectLst/>
            </c:spPr>
          </c:marker>
          <c:xVal>
            <c:strRef>
              <c:f>TSMC!$B$40:$F$40</c:f>
              <c:strCache>
                <c:ptCount val="5"/>
                <c:pt idx="0">
                  <c:v>FY2024</c:v>
                </c:pt>
                <c:pt idx="1">
                  <c:v>FY2023</c:v>
                </c:pt>
                <c:pt idx="2">
                  <c:v>FY2022</c:v>
                </c:pt>
                <c:pt idx="3">
                  <c:v>FY2021</c:v>
                </c:pt>
                <c:pt idx="4">
                  <c:v>FY2020</c:v>
                </c:pt>
              </c:strCache>
            </c:strRef>
          </c:xVal>
          <c:yVal>
            <c:numRef>
              <c:f>TSMC!$B$41:$F$41</c:f>
              <c:numCache>
                <c:formatCode>_(* #,##0.00_);_(* \(#,##0.00\);_(* "-"??_);_(@_)</c:formatCode>
                <c:ptCount val="5"/>
                <c:pt idx="0">
                  <c:v>1826.2</c:v>
                </c:pt>
                <c:pt idx="1">
                  <c:v>1242</c:v>
                </c:pt>
                <c:pt idx="2">
                  <c:v>1610.6</c:v>
                </c:pt>
                <c:pt idx="3">
                  <c:v>1112.2</c:v>
                </c:pt>
                <c:pt idx="4">
                  <c:v>822.7</c:v>
                </c:pt>
              </c:numCache>
            </c:numRef>
          </c:yVal>
          <c:smooth val="1"/>
          <c:extLst>
            <c:ext xmlns:c16="http://schemas.microsoft.com/office/drawing/2014/chart" uri="{C3380CC4-5D6E-409C-BE32-E72D297353CC}">
              <c16:uniqueId val="{00000000-8067-4A2C-B20C-0E4EFE80AB0E}"/>
            </c:ext>
          </c:extLst>
        </c:ser>
        <c:ser>
          <c:idx val="1"/>
          <c:order val="1"/>
          <c:tx>
            <c:strRef>
              <c:f>TSMC!$A$42</c:f>
              <c:strCache>
                <c:ptCount val="1"/>
                <c:pt idx="0">
                  <c:v>Cash Flow from Investing Activities (CFInv)</c:v>
                </c:pt>
              </c:strCache>
            </c:strRef>
          </c:tx>
          <c:spPr>
            <a:ln w="19050" cap="rnd">
              <a:solidFill>
                <a:srgbClr val="E3008C"/>
              </a:solidFill>
              <a:round/>
            </a:ln>
            <a:effectLst/>
          </c:spPr>
          <c:marker>
            <c:symbol val="circle"/>
            <c:size val="5"/>
            <c:spPr>
              <a:solidFill>
                <a:srgbClr val="E3008C"/>
              </a:solidFill>
              <a:ln w="9525">
                <a:solidFill>
                  <a:srgbClr val="E3008C"/>
                </a:solidFill>
              </a:ln>
              <a:effectLst/>
            </c:spPr>
          </c:marker>
          <c:xVal>
            <c:strRef>
              <c:f>TSMC!$B$40:$F$40</c:f>
              <c:strCache>
                <c:ptCount val="5"/>
                <c:pt idx="0">
                  <c:v>FY2024</c:v>
                </c:pt>
                <c:pt idx="1">
                  <c:v>FY2023</c:v>
                </c:pt>
                <c:pt idx="2">
                  <c:v>FY2022</c:v>
                </c:pt>
                <c:pt idx="3">
                  <c:v>FY2021</c:v>
                </c:pt>
                <c:pt idx="4">
                  <c:v>FY2020</c:v>
                </c:pt>
              </c:strCache>
            </c:strRef>
          </c:xVal>
          <c:yVal>
            <c:numRef>
              <c:f>TSMC!$B$42:$F$42</c:f>
              <c:numCache>
                <c:formatCode>_(* #,##0.00_);_(* \(#,##0.00\);_(* "-"??_);_(@_)</c:formatCode>
                <c:ptCount val="5"/>
                <c:pt idx="0">
                  <c:v>-1014.9</c:v>
                </c:pt>
                <c:pt idx="1">
                  <c:v>-906.1</c:v>
                </c:pt>
                <c:pt idx="2">
                  <c:v>-1190.9000000000001</c:v>
                </c:pt>
                <c:pt idx="3">
                  <c:v>-836.4</c:v>
                </c:pt>
                <c:pt idx="4">
                  <c:v>-505.8</c:v>
                </c:pt>
              </c:numCache>
            </c:numRef>
          </c:yVal>
          <c:smooth val="1"/>
          <c:extLst>
            <c:ext xmlns:c16="http://schemas.microsoft.com/office/drawing/2014/chart" uri="{C3380CC4-5D6E-409C-BE32-E72D297353CC}">
              <c16:uniqueId val="{00000002-8067-4A2C-B20C-0E4EFE80AB0E}"/>
            </c:ext>
          </c:extLst>
        </c:ser>
        <c:ser>
          <c:idx val="2"/>
          <c:order val="2"/>
          <c:tx>
            <c:strRef>
              <c:f>TSMC!$A$43</c:f>
              <c:strCache>
                <c:ptCount val="1"/>
                <c:pt idx="0">
                  <c:v>Cash used in Financing Activities（CFF）</c:v>
                </c:pt>
              </c:strCache>
            </c:strRef>
          </c:tx>
          <c:spPr>
            <a:ln w="19050" cap="rnd">
              <a:solidFill>
                <a:srgbClr val="2AA0A4"/>
              </a:solidFill>
              <a:round/>
            </a:ln>
            <a:effectLst/>
          </c:spPr>
          <c:marker>
            <c:symbol val="circle"/>
            <c:size val="5"/>
            <c:spPr>
              <a:solidFill>
                <a:srgbClr val="2AA0A4"/>
              </a:solidFill>
              <a:ln w="9525">
                <a:solidFill>
                  <a:srgbClr val="2AA0A4"/>
                </a:solidFill>
              </a:ln>
              <a:effectLst/>
            </c:spPr>
          </c:marker>
          <c:xVal>
            <c:strRef>
              <c:f>TSMC!$B$40:$F$40</c:f>
              <c:strCache>
                <c:ptCount val="5"/>
                <c:pt idx="0">
                  <c:v>FY2024</c:v>
                </c:pt>
                <c:pt idx="1">
                  <c:v>FY2023</c:v>
                </c:pt>
                <c:pt idx="2">
                  <c:v>FY2022</c:v>
                </c:pt>
                <c:pt idx="3">
                  <c:v>FY2021</c:v>
                </c:pt>
                <c:pt idx="4">
                  <c:v>FY2020</c:v>
                </c:pt>
              </c:strCache>
            </c:strRef>
          </c:xVal>
          <c:yVal>
            <c:numRef>
              <c:f>TSMC!$B$43:$F$43</c:f>
              <c:numCache>
                <c:formatCode>_(* #,##0.00_);_(* \(#,##0.00\);_(* "-"??_);_(@_)</c:formatCode>
                <c:ptCount val="5"/>
                <c:pt idx="0">
                  <c:v>-1999.4</c:v>
                </c:pt>
                <c:pt idx="1">
                  <c:v>-2102.8000000000002</c:v>
                </c:pt>
                <c:pt idx="2">
                  <c:v>-3631.2</c:v>
                </c:pt>
                <c:pt idx="3">
                  <c:v>-2038.5</c:v>
                </c:pt>
                <c:pt idx="4">
                  <c:v>-1840.2</c:v>
                </c:pt>
              </c:numCache>
            </c:numRef>
          </c:yVal>
          <c:smooth val="1"/>
          <c:extLst>
            <c:ext xmlns:c16="http://schemas.microsoft.com/office/drawing/2014/chart" uri="{C3380CC4-5D6E-409C-BE32-E72D297353CC}">
              <c16:uniqueId val="{00000004-8067-4A2C-B20C-0E4EFE80AB0E}"/>
            </c:ext>
          </c:extLst>
        </c:ser>
        <c:ser>
          <c:idx val="3"/>
          <c:order val="3"/>
          <c:tx>
            <c:strRef>
              <c:f>TSMC!$A$44</c:f>
              <c:strCache>
                <c:ptCount val="1"/>
                <c:pt idx="0">
                  <c:v>Free Cash Flow (FCF = CFO - CFInv)</c:v>
                </c:pt>
              </c:strCache>
            </c:strRef>
          </c:tx>
          <c:spPr>
            <a:ln w="19050" cap="rnd">
              <a:solidFill>
                <a:srgbClr val="9373C0"/>
              </a:solidFill>
              <a:round/>
            </a:ln>
            <a:effectLst/>
          </c:spPr>
          <c:marker>
            <c:symbol val="circle"/>
            <c:size val="5"/>
            <c:spPr>
              <a:solidFill>
                <a:srgbClr val="9373C0"/>
              </a:solidFill>
              <a:ln w="9525">
                <a:solidFill>
                  <a:srgbClr val="9373C0"/>
                </a:solidFill>
              </a:ln>
              <a:effectLst/>
            </c:spPr>
          </c:marker>
          <c:xVal>
            <c:strRef>
              <c:f>TSMC!$B$40:$F$40</c:f>
              <c:strCache>
                <c:ptCount val="5"/>
                <c:pt idx="0">
                  <c:v>FY2024</c:v>
                </c:pt>
                <c:pt idx="1">
                  <c:v>FY2023</c:v>
                </c:pt>
                <c:pt idx="2">
                  <c:v>FY2022</c:v>
                </c:pt>
                <c:pt idx="3">
                  <c:v>FY2021</c:v>
                </c:pt>
                <c:pt idx="4">
                  <c:v>FY2020</c:v>
                </c:pt>
              </c:strCache>
            </c:strRef>
          </c:xVal>
          <c:yVal>
            <c:numRef>
              <c:f>TSMC!$B$44:$F$44</c:f>
              <c:numCache>
                <c:formatCode>_(* #,##0.00_);_(* \(#,##0.00\);_(* "-"??_);_(@_)</c:formatCode>
                <c:ptCount val="5"/>
                <c:pt idx="0">
                  <c:v>811.30000000000007</c:v>
                </c:pt>
                <c:pt idx="1">
                  <c:v>335.9</c:v>
                </c:pt>
                <c:pt idx="2">
                  <c:v>419.69999999999982</c:v>
                </c:pt>
                <c:pt idx="3">
                  <c:v>275.80000000000007</c:v>
                </c:pt>
                <c:pt idx="4">
                  <c:v>316.90000000000003</c:v>
                </c:pt>
              </c:numCache>
            </c:numRef>
          </c:yVal>
          <c:smooth val="1"/>
          <c:extLst>
            <c:ext xmlns:c16="http://schemas.microsoft.com/office/drawing/2014/chart" uri="{C3380CC4-5D6E-409C-BE32-E72D297353CC}">
              <c16:uniqueId val="{00000006-8067-4A2C-B20C-0E4EFE80AB0E}"/>
            </c:ext>
          </c:extLst>
        </c:ser>
        <c:dLbls>
          <c:showLegendKey val="0"/>
          <c:showVal val="0"/>
          <c:showCatName val="0"/>
          <c:showSerName val="0"/>
          <c:showPercent val="0"/>
          <c:showBubbleSize val="0"/>
        </c:dLbls>
        <c:axId val="1197476360"/>
        <c:axId val="465102855"/>
      </c:scatterChart>
      <c:valAx>
        <c:axId val="1197476360"/>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02855"/>
        <c:crosses val="autoZero"/>
        <c:crossBetween val="midCat"/>
      </c:valAx>
      <c:valAx>
        <c:axId val="46510285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763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Revenues (Sales)  &amp; Total Cost of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Intel!$A$5</c:f>
              <c:strCache>
                <c:ptCount val="1"/>
                <c:pt idx="0">
                  <c:v>Total Revenues (Sales)</c:v>
                </c:pt>
              </c:strCache>
            </c:strRef>
          </c:tx>
          <c:spPr>
            <a:ln w="28575" cap="rnd">
              <a:solidFill>
                <a:srgbClr val="637CEF"/>
              </a:solidFill>
              <a:round/>
            </a:ln>
            <a:effectLst/>
          </c:spPr>
          <c:marker>
            <c:symbol val="none"/>
          </c:marker>
          <c:cat>
            <c:numRef>
              <c:f>(Intel!$F$4,Intel!$E$4,Intel!$D$4,Intel!$C$4,Intel!$B$4)</c:f>
              <c:numCache>
                <c:formatCode>General</c:formatCode>
                <c:ptCount val="5"/>
                <c:pt idx="0">
                  <c:v>2020</c:v>
                </c:pt>
                <c:pt idx="1">
                  <c:v>2021</c:v>
                </c:pt>
                <c:pt idx="2">
                  <c:v>2022</c:v>
                </c:pt>
                <c:pt idx="3">
                  <c:v>2023</c:v>
                </c:pt>
                <c:pt idx="4">
                  <c:v>2024</c:v>
                </c:pt>
              </c:numCache>
            </c:numRef>
          </c:cat>
          <c:val>
            <c:numRef>
              <c:f>(Intel!$F$5,Intel!$E$5,Intel!$D$5,Intel!$C$5,Intel!$B$5)</c:f>
              <c:numCache>
                <c:formatCode>#,##0</c:formatCode>
                <c:ptCount val="5"/>
                <c:pt idx="0" formatCode="_(* #,##0_);_(* \(#,##0\);_(* &quot;-&quot;??_);_(@_)">
                  <c:v>77867</c:v>
                </c:pt>
                <c:pt idx="1">
                  <c:v>79024</c:v>
                </c:pt>
                <c:pt idx="2">
                  <c:v>63054</c:v>
                </c:pt>
                <c:pt idx="3" formatCode="_(* #,##0_);_(* \(#,##0\);_(* &quot;-&quot;??_);_(@_)">
                  <c:v>54228</c:v>
                </c:pt>
                <c:pt idx="4">
                  <c:v>53101</c:v>
                </c:pt>
              </c:numCache>
            </c:numRef>
          </c:val>
          <c:smooth val="0"/>
          <c:extLst>
            <c:ext xmlns:c16="http://schemas.microsoft.com/office/drawing/2014/chart" uri="{C3380CC4-5D6E-409C-BE32-E72D297353CC}">
              <c16:uniqueId val="{00000000-5272-449D-9947-A704395284E8}"/>
            </c:ext>
          </c:extLst>
        </c:ser>
        <c:ser>
          <c:idx val="1"/>
          <c:order val="1"/>
          <c:tx>
            <c:strRef>
              <c:f>Intel!$A$6</c:f>
              <c:strCache>
                <c:ptCount val="1"/>
                <c:pt idx="0">
                  <c:v>Total Cost of Sales </c:v>
                </c:pt>
              </c:strCache>
            </c:strRef>
          </c:tx>
          <c:spPr>
            <a:ln w="28575" cap="rnd">
              <a:solidFill>
                <a:srgbClr val="C00000"/>
              </a:solidFill>
              <a:prstDash val="solid"/>
              <a:round/>
            </a:ln>
            <a:effectLst/>
          </c:spPr>
          <c:marker>
            <c:symbol val="none"/>
          </c:marker>
          <c:cat>
            <c:numRef>
              <c:f>(Intel!$F$4,Intel!$E$4,Intel!$D$4,Intel!$C$4,Intel!$B$4)</c:f>
              <c:numCache>
                <c:formatCode>General</c:formatCode>
                <c:ptCount val="5"/>
                <c:pt idx="0">
                  <c:v>2020</c:v>
                </c:pt>
                <c:pt idx="1">
                  <c:v>2021</c:v>
                </c:pt>
                <c:pt idx="2">
                  <c:v>2022</c:v>
                </c:pt>
                <c:pt idx="3">
                  <c:v>2023</c:v>
                </c:pt>
                <c:pt idx="4">
                  <c:v>2024</c:v>
                </c:pt>
              </c:numCache>
            </c:numRef>
          </c:cat>
          <c:val>
            <c:numRef>
              <c:f>(Intel!$F$6,Intel!$E$6,Intel!$D$6,Intel!$C$6,Intel!$B$6)</c:f>
              <c:numCache>
                <c:formatCode>_(* #,##0_);_(* \(#,##0\);_(* "-"??_);_(@_)</c:formatCode>
                <c:ptCount val="5"/>
                <c:pt idx="0">
                  <c:v>34255</c:v>
                </c:pt>
                <c:pt idx="1">
                  <c:v>35209</c:v>
                </c:pt>
                <c:pt idx="2">
                  <c:v>34608</c:v>
                </c:pt>
                <c:pt idx="3">
                  <c:v>31282</c:v>
                </c:pt>
                <c:pt idx="4">
                  <c:v>34877</c:v>
                </c:pt>
              </c:numCache>
            </c:numRef>
          </c:val>
          <c:smooth val="0"/>
          <c:extLst>
            <c:ext xmlns:c16="http://schemas.microsoft.com/office/drawing/2014/chart" uri="{C3380CC4-5D6E-409C-BE32-E72D297353CC}">
              <c16:uniqueId val="{00000002-5272-449D-9947-A704395284E8}"/>
            </c:ext>
          </c:extLst>
        </c:ser>
        <c:dLbls>
          <c:showLegendKey val="0"/>
          <c:showVal val="0"/>
          <c:showCatName val="0"/>
          <c:showSerName val="0"/>
          <c:showPercent val="0"/>
          <c:showBubbleSize val="0"/>
        </c:dLbls>
        <c:smooth val="0"/>
        <c:axId val="2010870280"/>
        <c:axId val="68918791"/>
      </c:lineChart>
      <c:catAx>
        <c:axId val="2010870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18791"/>
        <c:crosses val="autoZero"/>
        <c:auto val="1"/>
        <c:lblAlgn val="ctr"/>
        <c:lblOffset val="100"/>
        <c:noMultiLvlLbl val="0"/>
      </c:catAx>
      <c:valAx>
        <c:axId val="689187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70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Intel!$A$16</c:f>
              <c:strCache>
                <c:ptCount val="1"/>
                <c:pt idx="0">
                  <c:v>Net Profit Margin</c:v>
                </c:pt>
              </c:strCache>
            </c:strRef>
          </c:tx>
          <c:spPr>
            <a:ln w="28575" cap="rnd">
              <a:solidFill>
                <a:srgbClr val="637CEF"/>
              </a:solidFill>
              <a:round/>
            </a:ln>
            <a:effectLst/>
          </c:spPr>
          <c:marker>
            <c:symbol val="none"/>
          </c:marker>
          <c:cat>
            <c:numRef>
              <c:f>Intel!$B$4:$F$4</c:f>
              <c:numCache>
                <c:formatCode>General</c:formatCode>
                <c:ptCount val="5"/>
                <c:pt idx="0">
                  <c:v>2024</c:v>
                </c:pt>
                <c:pt idx="1">
                  <c:v>2023</c:v>
                </c:pt>
                <c:pt idx="2">
                  <c:v>2022</c:v>
                </c:pt>
                <c:pt idx="3">
                  <c:v>2021</c:v>
                </c:pt>
                <c:pt idx="4">
                  <c:v>2020</c:v>
                </c:pt>
              </c:numCache>
            </c:numRef>
          </c:cat>
          <c:val>
            <c:numRef>
              <c:f>Intel!$B$16:$F$16</c:f>
              <c:numCache>
                <c:formatCode>0%</c:formatCode>
                <c:ptCount val="5"/>
                <c:pt idx="0">
                  <c:v>-0.35</c:v>
                </c:pt>
                <c:pt idx="1">
                  <c:v>0.03</c:v>
                </c:pt>
                <c:pt idx="2">
                  <c:v>0.13</c:v>
                </c:pt>
                <c:pt idx="3">
                  <c:v>0.25</c:v>
                </c:pt>
                <c:pt idx="4">
                  <c:v>0.27</c:v>
                </c:pt>
              </c:numCache>
            </c:numRef>
          </c:val>
          <c:smooth val="0"/>
          <c:extLst>
            <c:ext xmlns:c16="http://schemas.microsoft.com/office/drawing/2014/chart" uri="{C3380CC4-5D6E-409C-BE32-E72D297353CC}">
              <c16:uniqueId val="{00000000-FE79-4357-B1F0-0529DD96CB86}"/>
            </c:ext>
          </c:extLst>
        </c:ser>
        <c:dLbls>
          <c:showLegendKey val="0"/>
          <c:showVal val="0"/>
          <c:showCatName val="0"/>
          <c:showSerName val="0"/>
          <c:showPercent val="0"/>
          <c:showBubbleSize val="0"/>
        </c:dLbls>
        <c:smooth val="0"/>
        <c:axId val="2010901000"/>
        <c:axId val="58747911"/>
      </c:lineChart>
      <c:catAx>
        <c:axId val="20109010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7911"/>
        <c:crosses val="autoZero"/>
        <c:auto val="1"/>
        <c:lblAlgn val="ctr"/>
        <c:lblOffset val="100"/>
        <c:noMultiLvlLbl val="0"/>
      </c:catAx>
      <c:valAx>
        <c:axId val="58747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90100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Intel!$A$40</c:f>
              <c:strCache>
                <c:ptCount val="1"/>
                <c:pt idx="0">
                  <c:v>Purchases of property and equipment</c:v>
                </c:pt>
              </c:strCache>
            </c:strRef>
          </c:tx>
          <c:spPr>
            <a:solidFill>
              <a:srgbClr val="637CEF"/>
            </a:solidFill>
            <a:ln>
              <a:noFill/>
            </a:ln>
            <a:effectLst/>
          </c:spPr>
          <c:invertIfNegative val="0"/>
          <c:cat>
            <c:numRef>
              <c:f>Intel!$B$39:$F$39</c:f>
              <c:numCache>
                <c:formatCode>General</c:formatCode>
                <c:ptCount val="5"/>
                <c:pt idx="0">
                  <c:v>2024</c:v>
                </c:pt>
                <c:pt idx="1">
                  <c:v>2023</c:v>
                </c:pt>
                <c:pt idx="2">
                  <c:v>2022</c:v>
                </c:pt>
                <c:pt idx="3">
                  <c:v>2021</c:v>
                </c:pt>
                <c:pt idx="4">
                  <c:v>2020</c:v>
                </c:pt>
              </c:numCache>
            </c:numRef>
          </c:cat>
          <c:val>
            <c:numRef>
              <c:f>Intel!$B$40:$F$40</c:f>
              <c:numCache>
                <c:formatCode>_(* #,##0_);_(* \(#,##0\);_(* "-"??_);_(@_)</c:formatCode>
                <c:ptCount val="5"/>
                <c:pt idx="0">
                  <c:v>-23944</c:v>
                </c:pt>
                <c:pt idx="1">
                  <c:v>-25750</c:v>
                </c:pt>
                <c:pt idx="2">
                  <c:v>-25050</c:v>
                </c:pt>
                <c:pt idx="3">
                  <c:v>-20329</c:v>
                </c:pt>
                <c:pt idx="4">
                  <c:v>-14260</c:v>
                </c:pt>
              </c:numCache>
            </c:numRef>
          </c:val>
          <c:extLst>
            <c:ext xmlns:c16="http://schemas.microsoft.com/office/drawing/2014/chart" uri="{C3380CC4-5D6E-409C-BE32-E72D297353CC}">
              <c16:uniqueId val="{00000000-D31F-4195-9020-BA79AB37BD04}"/>
            </c:ext>
          </c:extLst>
        </c:ser>
        <c:dLbls>
          <c:showLegendKey val="0"/>
          <c:showVal val="0"/>
          <c:showCatName val="0"/>
          <c:showSerName val="0"/>
          <c:showPercent val="0"/>
          <c:showBubbleSize val="0"/>
        </c:dLbls>
        <c:gapWidth val="219"/>
        <c:overlap val="-27"/>
        <c:axId val="2059812360"/>
        <c:axId val="2059822600"/>
      </c:barChart>
      <c:catAx>
        <c:axId val="20598123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22600"/>
        <c:crosses val="autoZero"/>
        <c:auto val="1"/>
        <c:lblAlgn val="ctr"/>
        <c:lblOffset val="100"/>
        <c:noMultiLvlLbl val="0"/>
      </c:catAx>
      <c:valAx>
        <c:axId val="20598226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1236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Intel!$A$9</c:f>
              <c:strCache>
                <c:ptCount val="1"/>
                <c:pt idx="0">
                  <c:v>Total Operating Expenses</c:v>
                </c:pt>
              </c:strCache>
            </c:strRef>
          </c:tx>
          <c:spPr>
            <a:solidFill>
              <a:srgbClr val="637CEF"/>
            </a:solidFill>
            <a:ln>
              <a:noFill/>
            </a:ln>
            <a:effectLst/>
          </c:spPr>
          <c:invertIfNegative val="0"/>
          <c:cat>
            <c:numRef>
              <c:f>Intel!$B$4:$F$4</c:f>
              <c:numCache>
                <c:formatCode>General</c:formatCode>
                <c:ptCount val="5"/>
                <c:pt idx="0">
                  <c:v>2024</c:v>
                </c:pt>
                <c:pt idx="1">
                  <c:v>2023</c:v>
                </c:pt>
                <c:pt idx="2">
                  <c:v>2022</c:v>
                </c:pt>
                <c:pt idx="3">
                  <c:v>2021</c:v>
                </c:pt>
                <c:pt idx="4">
                  <c:v>2020</c:v>
                </c:pt>
              </c:numCache>
            </c:numRef>
          </c:cat>
          <c:val>
            <c:numRef>
              <c:f>Intel!$B$9:$F$9</c:f>
              <c:numCache>
                <c:formatCode>_(* #,##0_);_(* \(#,##0\);_(* "-"??_);_(@_)</c:formatCode>
                <c:ptCount val="5"/>
                <c:pt idx="0">
                  <c:v>22053</c:v>
                </c:pt>
                <c:pt idx="1">
                  <c:v>21680</c:v>
                </c:pt>
                <c:pt idx="2">
                  <c:v>24530</c:v>
                </c:pt>
                <c:pt idx="3">
                  <c:v>21733</c:v>
                </c:pt>
                <c:pt idx="4">
                  <c:v>19736</c:v>
                </c:pt>
              </c:numCache>
            </c:numRef>
          </c:val>
          <c:extLst>
            <c:ext xmlns:c16="http://schemas.microsoft.com/office/drawing/2014/chart" uri="{C3380CC4-5D6E-409C-BE32-E72D297353CC}">
              <c16:uniqueId val="{00000000-F918-4E2C-8142-C3C14DAAB7CA}"/>
            </c:ext>
          </c:extLst>
        </c:ser>
        <c:dLbls>
          <c:showLegendKey val="0"/>
          <c:showVal val="0"/>
          <c:showCatName val="0"/>
          <c:showSerName val="0"/>
          <c:showPercent val="0"/>
          <c:showBubbleSize val="0"/>
        </c:dLbls>
        <c:gapWidth val="219"/>
        <c:overlap val="-27"/>
        <c:axId val="1976296456"/>
        <c:axId val="2010845192"/>
      </c:barChart>
      <c:catAx>
        <c:axId val="197629645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45192"/>
        <c:crosses val="autoZero"/>
        <c:auto val="1"/>
        <c:lblAlgn val="ctr"/>
        <c:lblOffset val="100"/>
        <c:noMultiLvlLbl val="0"/>
      </c:catAx>
      <c:valAx>
        <c:axId val="20108451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296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 Margin &amp;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Intel!$A$8</c:f>
              <c:strCache>
                <c:ptCount val="1"/>
                <c:pt idx="0">
                  <c:v>Gross Profit Margin</c:v>
                </c:pt>
              </c:strCache>
            </c:strRef>
          </c:tx>
          <c:spPr>
            <a:solidFill>
              <a:srgbClr val="637CEF"/>
            </a:solidFill>
            <a:ln>
              <a:noFill/>
            </a:ln>
            <a:effectLst/>
          </c:spPr>
          <c:invertIfNegative val="0"/>
          <c:cat>
            <c:numRef>
              <c:f>Intel!$B$4:$F$4</c:f>
              <c:numCache>
                <c:formatCode>General</c:formatCode>
                <c:ptCount val="5"/>
                <c:pt idx="0">
                  <c:v>2024</c:v>
                </c:pt>
                <c:pt idx="1">
                  <c:v>2023</c:v>
                </c:pt>
                <c:pt idx="2">
                  <c:v>2022</c:v>
                </c:pt>
                <c:pt idx="3">
                  <c:v>2021</c:v>
                </c:pt>
                <c:pt idx="4">
                  <c:v>2020</c:v>
                </c:pt>
              </c:numCache>
            </c:numRef>
          </c:cat>
          <c:val>
            <c:numRef>
              <c:f>Intel!$B$8:$F$8</c:f>
              <c:numCache>
                <c:formatCode>0%</c:formatCode>
                <c:ptCount val="5"/>
                <c:pt idx="0">
                  <c:v>0.34</c:v>
                </c:pt>
                <c:pt idx="1">
                  <c:v>0.42</c:v>
                </c:pt>
                <c:pt idx="2">
                  <c:v>0.45</c:v>
                </c:pt>
                <c:pt idx="3">
                  <c:v>0.55000000000000004</c:v>
                </c:pt>
                <c:pt idx="4">
                  <c:v>0.56000000000000005</c:v>
                </c:pt>
              </c:numCache>
            </c:numRef>
          </c:val>
          <c:extLst>
            <c:ext xmlns:c16="http://schemas.microsoft.com/office/drawing/2014/chart" uri="{C3380CC4-5D6E-409C-BE32-E72D297353CC}">
              <c16:uniqueId val="{00000000-8ED6-4FFF-8C8D-A977A8B5E71F}"/>
            </c:ext>
          </c:extLst>
        </c:ser>
        <c:ser>
          <c:idx val="1"/>
          <c:order val="1"/>
          <c:tx>
            <c:strRef>
              <c:f>Intel!$A$11</c:f>
              <c:strCache>
                <c:ptCount val="1"/>
                <c:pt idx="0">
                  <c:v>Operating Margin</c:v>
                </c:pt>
              </c:strCache>
            </c:strRef>
          </c:tx>
          <c:spPr>
            <a:solidFill>
              <a:srgbClr val="C00000"/>
            </a:solidFill>
            <a:ln>
              <a:noFill/>
            </a:ln>
            <a:effectLst/>
          </c:spPr>
          <c:invertIfNegative val="0"/>
          <c:cat>
            <c:numRef>
              <c:f>Intel!$B$4:$F$4</c:f>
              <c:numCache>
                <c:formatCode>General</c:formatCode>
                <c:ptCount val="5"/>
                <c:pt idx="0">
                  <c:v>2024</c:v>
                </c:pt>
                <c:pt idx="1">
                  <c:v>2023</c:v>
                </c:pt>
                <c:pt idx="2">
                  <c:v>2022</c:v>
                </c:pt>
                <c:pt idx="3">
                  <c:v>2021</c:v>
                </c:pt>
                <c:pt idx="4">
                  <c:v>2020</c:v>
                </c:pt>
              </c:numCache>
            </c:numRef>
          </c:cat>
          <c:val>
            <c:numRef>
              <c:f>Intel!$B$11:$F$11</c:f>
              <c:numCache>
                <c:formatCode>0%</c:formatCode>
                <c:ptCount val="5"/>
                <c:pt idx="0">
                  <c:v>-7.0000000000000007E-2</c:v>
                </c:pt>
                <c:pt idx="1">
                  <c:v>0.02</c:v>
                </c:pt>
                <c:pt idx="2">
                  <c:v>0.06</c:v>
                </c:pt>
                <c:pt idx="3">
                  <c:v>0.28000000000000003</c:v>
                </c:pt>
                <c:pt idx="4">
                  <c:v>0.31</c:v>
                </c:pt>
              </c:numCache>
            </c:numRef>
          </c:val>
          <c:extLst>
            <c:ext xmlns:c16="http://schemas.microsoft.com/office/drawing/2014/chart" uri="{C3380CC4-5D6E-409C-BE32-E72D297353CC}">
              <c16:uniqueId val="{00000002-8ED6-4FFF-8C8D-A977A8B5E71F}"/>
            </c:ext>
          </c:extLst>
        </c:ser>
        <c:dLbls>
          <c:showLegendKey val="0"/>
          <c:showVal val="0"/>
          <c:showCatName val="0"/>
          <c:showSerName val="0"/>
          <c:showPercent val="0"/>
          <c:showBubbleSize val="0"/>
        </c:dLbls>
        <c:gapWidth val="219"/>
        <c:overlap val="-27"/>
        <c:axId val="508335624"/>
        <c:axId val="508342280"/>
      </c:barChart>
      <c:catAx>
        <c:axId val="5083356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42280"/>
        <c:crosses val="autoZero"/>
        <c:auto val="1"/>
        <c:lblAlgn val="ctr"/>
        <c:lblOffset val="100"/>
        <c:noMultiLvlLbl val="0"/>
      </c:catAx>
      <c:valAx>
        <c:axId val="508342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3562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Intel!$A$51</c:f>
              <c:strCache>
                <c:ptCount val="1"/>
                <c:pt idx="0">
                  <c:v>Free Cash Flow (FCF)</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5754-6B46-B8B3-18F2A070E4BD}"/>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5754-6B46-B8B3-18F2A070E4BD}"/>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5754-6B46-B8B3-18F2A070E4BD}"/>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5754-6B46-B8B3-18F2A070E4BD}"/>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5754-6B46-B8B3-18F2A070E4BD}"/>
              </c:ext>
            </c:extLst>
          </c:dPt>
          <c:cat>
            <c:numRef>
              <c:f>Intel!$B$47:$F$47</c:f>
              <c:numCache>
                <c:formatCode>General</c:formatCode>
                <c:ptCount val="5"/>
                <c:pt idx="0">
                  <c:v>2024</c:v>
                </c:pt>
                <c:pt idx="1">
                  <c:v>2023</c:v>
                </c:pt>
                <c:pt idx="2">
                  <c:v>2022</c:v>
                </c:pt>
                <c:pt idx="3">
                  <c:v>2021</c:v>
                </c:pt>
                <c:pt idx="4">
                  <c:v>2020</c:v>
                </c:pt>
              </c:numCache>
            </c:numRef>
          </c:cat>
          <c:val>
            <c:numRef>
              <c:f>Intel!$B$51:$F$51</c:f>
              <c:numCache>
                <c:formatCode>_(* #,##0_);_(* \(#,##0\);_(* "-"??_);_(@_)</c:formatCode>
                <c:ptCount val="5"/>
                <c:pt idx="0">
                  <c:v>-9968</c:v>
                </c:pt>
                <c:pt idx="1">
                  <c:v>-12570</c:v>
                </c:pt>
                <c:pt idx="2">
                  <c:v>5202</c:v>
                </c:pt>
                <c:pt idx="3">
                  <c:v>11318</c:v>
                </c:pt>
                <c:pt idx="4">
                  <c:v>20859</c:v>
                </c:pt>
              </c:numCache>
            </c:numRef>
          </c:val>
          <c:extLst>
            <c:ext xmlns:c16="http://schemas.microsoft.com/office/drawing/2014/chart" uri="{C3380CC4-5D6E-409C-BE32-E72D297353CC}">
              <c16:uniqueId val="{00000000-D77E-44AD-BE1A-98AAD0A7C57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Intel!$A$32</c:f>
              <c:strCache>
                <c:ptCount val="1"/>
                <c:pt idx="0">
                  <c:v>Research and development</c:v>
                </c:pt>
              </c:strCache>
            </c:strRef>
          </c:tx>
          <c:spPr>
            <a:ln w="28575" cap="rnd">
              <a:solidFill>
                <a:srgbClr val="637CEF"/>
              </a:solidFill>
              <a:round/>
            </a:ln>
            <a:effectLst/>
          </c:spPr>
          <c:marker>
            <c:symbol val="none"/>
          </c:marker>
          <c:cat>
            <c:numRef>
              <c:f>Intel!$B$31:$F$31</c:f>
              <c:numCache>
                <c:formatCode>General</c:formatCode>
                <c:ptCount val="5"/>
                <c:pt idx="0">
                  <c:v>2024</c:v>
                </c:pt>
                <c:pt idx="1">
                  <c:v>2023</c:v>
                </c:pt>
                <c:pt idx="2">
                  <c:v>2022</c:v>
                </c:pt>
                <c:pt idx="3">
                  <c:v>2021</c:v>
                </c:pt>
                <c:pt idx="4">
                  <c:v>2020</c:v>
                </c:pt>
              </c:numCache>
            </c:numRef>
          </c:cat>
          <c:val>
            <c:numRef>
              <c:f>Intel!$B$32:$F$32</c:f>
              <c:numCache>
                <c:formatCode>_(* #,##0_);_(* \(#,##0\);_(* "-"??_);_(@_)</c:formatCode>
                <c:ptCount val="5"/>
                <c:pt idx="0">
                  <c:v>16546</c:v>
                </c:pt>
                <c:pt idx="1">
                  <c:v>16046</c:v>
                </c:pt>
                <c:pt idx="2">
                  <c:v>17528</c:v>
                </c:pt>
                <c:pt idx="3">
                  <c:v>15190</c:v>
                </c:pt>
                <c:pt idx="4">
                  <c:v>13556</c:v>
                </c:pt>
              </c:numCache>
            </c:numRef>
          </c:val>
          <c:smooth val="0"/>
          <c:extLst>
            <c:ext xmlns:c16="http://schemas.microsoft.com/office/drawing/2014/chart" uri="{C3380CC4-5D6E-409C-BE32-E72D297353CC}">
              <c16:uniqueId val="{00000000-6142-4FD2-8ACE-FFE3646460A1}"/>
            </c:ext>
          </c:extLst>
        </c:ser>
        <c:ser>
          <c:idx val="1"/>
          <c:order val="1"/>
          <c:tx>
            <c:strRef>
              <c:f>Intel!$A$33</c:f>
              <c:strCache>
                <c:ptCount val="1"/>
                <c:pt idx="0">
                  <c:v>Marketing, general and administrative</c:v>
                </c:pt>
              </c:strCache>
            </c:strRef>
          </c:tx>
          <c:spPr>
            <a:ln w="28575" cap="rnd">
              <a:solidFill>
                <a:srgbClr val="E3008C"/>
              </a:solidFill>
              <a:round/>
            </a:ln>
            <a:effectLst/>
          </c:spPr>
          <c:marker>
            <c:symbol val="none"/>
          </c:marker>
          <c:cat>
            <c:numRef>
              <c:f>Intel!$B$31:$F$31</c:f>
              <c:numCache>
                <c:formatCode>General</c:formatCode>
                <c:ptCount val="5"/>
                <c:pt idx="0">
                  <c:v>2024</c:v>
                </c:pt>
                <c:pt idx="1">
                  <c:v>2023</c:v>
                </c:pt>
                <c:pt idx="2">
                  <c:v>2022</c:v>
                </c:pt>
                <c:pt idx="3">
                  <c:v>2021</c:v>
                </c:pt>
                <c:pt idx="4">
                  <c:v>2020</c:v>
                </c:pt>
              </c:numCache>
            </c:numRef>
          </c:cat>
          <c:val>
            <c:numRef>
              <c:f>Intel!$B$33:$F$33</c:f>
              <c:numCache>
                <c:formatCode>_(* #,##0_);_(* \(#,##0\);_(* "-"??_);_(@_)</c:formatCode>
                <c:ptCount val="5"/>
                <c:pt idx="0">
                  <c:v>5507</c:v>
                </c:pt>
                <c:pt idx="1">
                  <c:v>5634</c:v>
                </c:pt>
                <c:pt idx="2">
                  <c:v>7002</c:v>
                </c:pt>
                <c:pt idx="3">
                  <c:v>6543</c:v>
                </c:pt>
                <c:pt idx="4">
                  <c:v>6180</c:v>
                </c:pt>
              </c:numCache>
            </c:numRef>
          </c:val>
          <c:smooth val="0"/>
          <c:extLst>
            <c:ext xmlns:c16="http://schemas.microsoft.com/office/drawing/2014/chart" uri="{C3380CC4-5D6E-409C-BE32-E72D297353CC}">
              <c16:uniqueId val="{00000002-6142-4FD2-8ACE-FFE3646460A1}"/>
            </c:ext>
          </c:extLst>
        </c:ser>
        <c:ser>
          <c:idx val="2"/>
          <c:order val="2"/>
          <c:tx>
            <c:strRef>
              <c:f>Intel!$A$34</c:f>
              <c:strCache>
                <c:ptCount val="1"/>
                <c:pt idx="0">
                  <c:v>Amortization of acquisition-related intangibles</c:v>
                </c:pt>
              </c:strCache>
            </c:strRef>
          </c:tx>
          <c:spPr>
            <a:ln w="28575" cap="rnd">
              <a:solidFill>
                <a:srgbClr val="2AA0A4"/>
              </a:solidFill>
              <a:round/>
            </a:ln>
            <a:effectLst/>
          </c:spPr>
          <c:marker>
            <c:symbol val="none"/>
          </c:marker>
          <c:cat>
            <c:numRef>
              <c:f>Intel!$B$31:$F$31</c:f>
              <c:numCache>
                <c:formatCode>General</c:formatCode>
                <c:ptCount val="5"/>
                <c:pt idx="0">
                  <c:v>2024</c:v>
                </c:pt>
                <c:pt idx="1">
                  <c:v>2023</c:v>
                </c:pt>
                <c:pt idx="2">
                  <c:v>2022</c:v>
                </c:pt>
                <c:pt idx="3">
                  <c:v>2021</c:v>
                </c:pt>
                <c:pt idx="4">
                  <c:v>2020</c:v>
                </c:pt>
              </c:numCache>
            </c:numRef>
          </c:cat>
          <c:val>
            <c:numRef>
              <c:f>Intel!$B$34:$F$34</c:f>
              <c:numCache>
                <c:formatCode>_(* #,##0_);_(* \(#,##0\);_(* "-"??_);_(@_)</c:formatCode>
                <c:ptCount val="5"/>
                <c:pt idx="0">
                  <c:v>300</c:v>
                </c:pt>
                <c:pt idx="1">
                  <c:v>350</c:v>
                </c:pt>
                <c:pt idx="2">
                  <c:v>400</c:v>
                </c:pt>
                <c:pt idx="3">
                  <c:v>0</c:v>
                </c:pt>
                <c:pt idx="4">
                  <c:v>0</c:v>
                </c:pt>
              </c:numCache>
            </c:numRef>
          </c:val>
          <c:smooth val="0"/>
          <c:extLst>
            <c:ext xmlns:c16="http://schemas.microsoft.com/office/drawing/2014/chart" uri="{C3380CC4-5D6E-409C-BE32-E72D297353CC}">
              <c16:uniqueId val="{00000004-6142-4FD2-8ACE-FFE3646460A1}"/>
            </c:ext>
          </c:extLst>
        </c:ser>
        <c:dLbls>
          <c:showLegendKey val="0"/>
          <c:showVal val="0"/>
          <c:showCatName val="0"/>
          <c:showSerName val="0"/>
          <c:showPercent val="0"/>
          <c:showBubbleSize val="0"/>
        </c:dLbls>
        <c:smooth val="0"/>
        <c:axId val="346064904"/>
        <c:axId val="662196232"/>
      </c:lineChart>
      <c:catAx>
        <c:axId val="3460649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96232"/>
        <c:crosses val="autoZero"/>
        <c:auto val="1"/>
        <c:lblAlgn val="ctr"/>
        <c:lblOffset val="100"/>
        <c:noMultiLvlLbl val="0"/>
      </c:catAx>
      <c:valAx>
        <c:axId val="6621962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06490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2020</c:v>
          </c:tx>
          <c:spPr>
            <a:solidFill>
              <a:srgbClr val="637CEF"/>
            </a:solidFill>
            <a:ln>
              <a:noFill/>
            </a:ln>
            <a:effectLst/>
          </c:spPr>
          <c:invertIfNegative val="0"/>
          <c:cat>
            <c:strRef>
              <c:f>Intel!$A$54:$A$60</c:f>
              <c:strCache>
                <c:ptCount val="7"/>
                <c:pt idx="0">
                  <c:v>Segment</c:v>
                </c:pt>
                <c:pt idx="1">
                  <c:v>Data Center &amp; AI (DCAI)</c:v>
                </c:pt>
                <c:pt idx="2">
                  <c:v>Client Computing (CCG)</c:v>
                </c:pt>
                <c:pt idx="3">
                  <c:v>Network &amp; Edge (NEX)</c:v>
                </c:pt>
                <c:pt idx="4">
                  <c:v>Intel Foundry Services (IFS)</c:v>
                </c:pt>
                <c:pt idx="5">
                  <c:v>All other</c:v>
                </c:pt>
                <c:pt idx="6">
                  <c:v>Total Intel (Consolidated)</c:v>
                </c:pt>
              </c:strCache>
            </c:strRef>
          </c:cat>
          <c:val>
            <c:numRef>
              <c:f>Intel!$B$54:$B$60</c:f>
              <c:numCache>
                <c:formatCode>_(* #,##0_);_(* \(#,##0\);_(* "-"??_);_(@_)</c:formatCode>
                <c:ptCount val="7"/>
                <c:pt idx="0" formatCode="General">
                  <c:v>2024</c:v>
                </c:pt>
                <c:pt idx="1">
                  <c:v>12817</c:v>
                </c:pt>
                <c:pt idx="2">
                  <c:v>30290</c:v>
                </c:pt>
                <c:pt idx="3">
                  <c:v>5842</c:v>
                </c:pt>
                <c:pt idx="4">
                  <c:v>328</c:v>
                </c:pt>
                <c:pt idx="5">
                  <c:v>3824</c:v>
                </c:pt>
                <c:pt idx="6">
                  <c:v>53101</c:v>
                </c:pt>
              </c:numCache>
            </c:numRef>
          </c:val>
          <c:extLst>
            <c:ext xmlns:c16="http://schemas.microsoft.com/office/drawing/2014/chart" uri="{C3380CC4-5D6E-409C-BE32-E72D297353CC}">
              <c16:uniqueId val="{00000000-2C55-4FAC-86C2-D5F2334F5ABB}"/>
            </c:ext>
          </c:extLst>
        </c:ser>
        <c:ser>
          <c:idx val="1"/>
          <c:order val="1"/>
          <c:tx>
            <c:v>2021</c:v>
          </c:tx>
          <c:spPr>
            <a:solidFill>
              <a:srgbClr val="E3008C"/>
            </a:solidFill>
            <a:ln>
              <a:noFill/>
            </a:ln>
            <a:effectLst/>
          </c:spPr>
          <c:invertIfNegative val="0"/>
          <c:cat>
            <c:strRef>
              <c:f>Intel!$A$54:$A$60</c:f>
              <c:strCache>
                <c:ptCount val="7"/>
                <c:pt idx="0">
                  <c:v>Segment</c:v>
                </c:pt>
                <c:pt idx="1">
                  <c:v>Data Center &amp; AI (DCAI)</c:v>
                </c:pt>
                <c:pt idx="2">
                  <c:v>Client Computing (CCG)</c:v>
                </c:pt>
                <c:pt idx="3">
                  <c:v>Network &amp; Edge (NEX)</c:v>
                </c:pt>
                <c:pt idx="4">
                  <c:v>Intel Foundry Services (IFS)</c:v>
                </c:pt>
                <c:pt idx="5">
                  <c:v>All other</c:v>
                </c:pt>
                <c:pt idx="6">
                  <c:v>Total Intel (Consolidated)</c:v>
                </c:pt>
              </c:strCache>
            </c:strRef>
          </c:cat>
          <c:val>
            <c:numRef>
              <c:f>Intel!$C$54:$C$60</c:f>
              <c:numCache>
                <c:formatCode>_(* #,##0_);_(* \(#,##0\);_(* "-"??_);_(@_)</c:formatCode>
                <c:ptCount val="7"/>
                <c:pt idx="0" formatCode="General">
                  <c:v>2023</c:v>
                </c:pt>
                <c:pt idx="1">
                  <c:v>15521</c:v>
                </c:pt>
                <c:pt idx="2">
                  <c:v>29258</c:v>
                </c:pt>
                <c:pt idx="3">
                  <c:v>5774</c:v>
                </c:pt>
                <c:pt idx="4">
                  <c:v>952</c:v>
                </c:pt>
                <c:pt idx="5">
                  <c:v>2723</c:v>
                </c:pt>
                <c:pt idx="6">
                  <c:v>54228</c:v>
                </c:pt>
              </c:numCache>
            </c:numRef>
          </c:val>
          <c:extLst>
            <c:ext xmlns:c16="http://schemas.microsoft.com/office/drawing/2014/chart" uri="{C3380CC4-5D6E-409C-BE32-E72D297353CC}">
              <c16:uniqueId val="{00000002-2C55-4FAC-86C2-D5F2334F5ABB}"/>
            </c:ext>
          </c:extLst>
        </c:ser>
        <c:ser>
          <c:idx val="2"/>
          <c:order val="2"/>
          <c:tx>
            <c:v>2022</c:v>
          </c:tx>
          <c:spPr>
            <a:solidFill>
              <a:srgbClr val="2AA0A4"/>
            </a:solidFill>
            <a:ln>
              <a:noFill/>
            </a:ln>
            <a:effectLst/>
          </c:spPr>
          <c:invertIfNegative val="0"/>
          <c:cat>
            <c:strRef>
              <c:f>Intel!$A$54:$A$60</c:f>
              <c:strCache>
                <c:ptCount val="7"/>
                <c:pt idx="0">
                  <c:v>Segment</c:v>
                </c:pt>
                <c:pt idx="1">
                  <c:v>Data Center &amp; AI (DCAI)</c:v>
                </c:pt>
                <c:pt idx="2">
                  <c:v>Client Computing (CCG)</c:v>
                </c:pt>
                <c:pt idx="3">
                  <c:v>Network &amp; Edge (NEX)</c:v>
                </c:pt>
                <c:pt idx="4">
                  <c:v>Intel Foundry Services (IFS)</c:v>
                </c:pt>
                <c:pt idx="5">
                  <c:v>All other</c:v>
                </c:pt>
                <c:pt idx="6">
                  <c:v>Total Intel (Consolidated)</c:v>
                </c:pt>
              </c:strCache>
            </c:strRef>
          </c:cat>
          <c:val>
            <c:numRef>
              <c:f>Intel!$D$54:$D$60</c:f>
              <c:numCache>
                <c:formatCode>_(* #,##0_);_(* \(#,##0\);_(* "-"??_);_(@_)</c:formatCode>
                <c:ptCount val="7"/>
                <c:pt idx="0" formatCode="General">
                  <c:v>2022</c:v>
                </c:pt>
                <c:pt idx="1">
                  <c:v>19445</c:v>
                </c:pt>
                <c:pt idx="2">
                  <c:v>31773</c:v>
                </c:pt>
                <c:pt idx="3">
                  <c:v>8409</c:v>
                </c:pt>
                <c:pt idx="4">
                  <c:v>1869</c:v>
                </c:pt>
                <c:pt idx="5">
                  <c:v>1558</c:v>
                </c:pt>
                <c:pt idx="6">
                  <c:v>63054</c:v>
                </c:pt>
              </c:numCache>
            </c:numRef>
          </c:val>
          <c:extLst>
            <c:ext xmlns:c16="http://schemas.microsoft.com/office/drawing/2014/chart" uri="{C3380CC4-5D6E-409C-BE32-E72D297353CC}">
              <c16:uniqueId val="{00000004-2C55-4FAC-86C2-D5F2334F5ABB}"/>
            </c:ext>
          </c:extLst>
        </c:ser>
        <c:ser>
          <c:idx val="3"/>
          <c:order val="3"/>
          <c:tx>
            <c:v>2023</c:v>
          </c:tx>
          <c:spPr>
            <a:solidFill>
              <a:srgbClr val="9373C0"/>
            </a:solidFill>
            <a:ln>
              <a:noFill/>
            </a:ln>
            <a:effectLst/>
          </c:spPr>
          <c:invertIfNegative val="0"/>
          <c:cat>
            <c:strRef>
              <c:f>Intel!$A$54:$A$60</c:f>
              <c:strCache>
                <c:ptCount val="7"/>
                <c:pt idx="0">
                  <c:v>Segment</c:v>
                </c:pt>
                <c:pt idx="1">
                  <c:v>Data Center &amp; AI (DCAI)</c:v>
                </c:pt>
                <c:pt idx="2">
                  <c:v>Client Computing (CCG)</c:v>
                </c:pt>
                <c:pt idx="3">
                  <c:v>Network &amp; Edge (NEX)</c:v>
                </c:pt>
                <c:pt idx="4">
                  <c:v>Intel Foundry Services (IFS)</c:v>
                </c:pt>
                <c:pt idx="5">
                  <c:v>All other</c:v>
                </c:pt>
                <c:pt idx="6">
                  <c:v>Total Intel (Consolidated)</c:v>
                </c:pt>
              </c:strCache>
            </c:strRef>
          </c:cat>
          <c:val>
            <c:numRef>
              <c:f>Intel!$E$54:$E$60</c:f>
              <c:numCache>
                <c:formatCode>_(* #,##0_);_(* \(#,##0\);_(* "-"??_);_(@_)</c:formatCode>
                <c:ptCount val="7"/>
                <c:pt idx="0" formatCode="General">
                  <c:v>2021</c:v>
                </c:pt>
                <c:pt idx="1">
                  <c:v>22774</c:v>
                </c:pt>
                <c:pt idx="2">
                  <c:v>41081</c:v>
                </c:pt>
                <c:pt idx="3">
                  <c:v>7665</c:v>
                </c:pt>
                <c:pt idx="4">
                  <c:v>347</c:v>
                </c:pt>
                <c:pt idx="5">
                  <c:v>7157</c:v>
                </c:pt>
                <c:pt idx="6">
                  <c:v>79024</c:v>
                </c:pt>
              </c:numCache>
            </c:numRef>
          </c:val>
          <c:extLst>
            <c:ext xmlns:c16="http://schemas.microsoft.com/office/drawing/2014/chart" uri="{C3380CC4-5D6E-409C-BE32-E72D297353CC}">
              <c16:uniqueId val="{00000006-2C55-4FAC-86C2-D5F2334F5ABB}"/>
            </c:ext>
          </c:extLst>
        </c:ser>
        <c:ser>
          <c:idx val="4"/>
          <c:order val="4"/>
          <c:tx>
            <c:v>2024</c:v>
          </c:tx>
          <c:spPr>
            <a:solidFill>
              <a:srgbClr val="13A10E"/>
            </a:solidFill>
            <a:ln>
              <a:noFill/>
            </a:ln>
            <a:effectLst/>
          </c:spPr>
          <c:invertIfNegative val="0"/>
          <c:cat>
            <c:strRef>
              <c:f>Intel!$A$54:$A$60</c:f>
              <c:strCache>
                <c:ptCount val="7"/>
                <c:pt idx="0">
                  <c:v>Segment</c:v>
                </c:pt>
                <c:pt idx="1">
                  <c:v>Data Center &amp; AI (DCAI)</c:v>
                </c:pt>
                <c:pt idx="2">
                  <c:v>Client Computing (CCG)</c:v>
                </c:pt>
                <c:pt idx="3">
                  <c:v>Network &amp; Edge (NEX)</c:v>
                </c:pt>
                <c:pt idx="4">
                  <c:v>Intel Foundry Services (IFS)</c:v>
                </c:pt>
                <c:pt idx="5">
                  <c:v>All other</c:v>
                </c:pt>
                <c:pt idx="6">
                  <c:v>Total Intel (Consolidated)</c:v>
                </c:pt>
              </c:strCache>
            </c:strRef>
          </c:cat>
          <c:val>
            <c:numRef>
              <c:f>Intel!$F$54:$F$60</c:f>
              <c:numCache>
                <c:formatCode>_(* #,##0_);_(* \(#,##0\);_(* "-"??_);_(@_)</c:formatCode>
                <c:ptCount val="7"/>
                <c:pt idx="0" formatCode="General">
                  <c:v>2020</c:v>
                </c:pt>
                <c:pt idx="1">
                  <c:v>23413</c:v>
                </c:pt>
                <c:pt idx="2">
                  <c:v>40535</c:v>
                </c:pt>
                <c:pt idx="3">
                  <c:v>7132</c:v>
                </c:pt>
                <c:pt idx="4">
                  <c:v>715</c:v>
                </c:pt>
                <c:pt idx="5">
                  <c:v>6709</c:v>
                </c:pt>
                <c:pt idx="6">
                  <c:v>78504</c:v>
                </c:pt>
              </c:numCache>
            </c:numRef>
          </c:val>
          <c:extLst>
            <c:ext xmlns:c16="http://schemas.microsoft.com/office/drawing/2014/chart" uri="{C3380CC4-5D6E-409C-BE32-E72D297353CC}">
              <c16:uniqueId val="{00000008-2C55-4FAC-86C2-D5F2334F5ABB}"/>
            </c:ext>
          </c:extLst>
        </c:ser>
        <c:dLbls>
          <c:showLegendKey val="0"/>
          <c:showVal val="0"/>
          <c:showCatName val="0"/>
          <c:showSerName val="0"/>
          <c:showPercent val="0"/>
          <c:showBubbleSize val="0"/>
        </c:dLbls>
        <c:gapWidth val="182"/>
        <c:axId val="1824488455"/>
        <c:axId val="1041921544"/>
      </c:barChart>
      <c:catAx>
        <c:axId val="1824488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21544"/>
        <c:crosses val="autoZero"/>
        <c:auto val="1"/>
        <c:lblAlgn val="ctr"/>
        <c:lblOffset val="100"/>
        <c:noMultiLvlLbl val="0"/>
      </c:catAx>
      <c:valAx>
        <c:axId val="1041921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488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 dir="row">_xlchart.v1.2</cx:f>
      </cx:numDim>
    </cx:data>
    <cx:data id="1">
      <cx:numDim type="val">
        <cx:f dir="row">_xlchart.v1.3</cx:f>
      </cx:numDim>
    </cx:data>
  </cx:chartData>
  <cx:chart>
    <cx:title pos="t" align="ctr" overlay="0">
      <cx:tx>
        <cx:txData>
          <cx:v>REVENUE VS COST OF SALES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REVENUE VS COST OF SALES</a:t>
          </a:r>
        </a:p>
      </cx:txPr>
    </cx:title>
    <cx:plotArea>
      <cx:plotAreaRegion>
        <cx:series layoutId="clusteredColumn" uniqueId="{50A55592-8726-4359-BFD9-046CCE536CAA}" formatIdx="0">
          <cx:tx>
            <cx:txData>
              <cx:f>_xlchart.v1.0</cx:f>
              <cx:v>Total Revenue</cx:v>
            </cx:txData>
          </cx:tx>
          <cx:dataId val="0"/>
          <cx:layoutPr>
            <cx:binning intervalClosed="r"/>
          </cx:layoutPr>
          <cx:axisId val="1"/>
        </cx:series>
        <cx:series layoutId="paretoLine" ownerIdx="0" uniqueId="{2390706F-1110-428C-8B96-7F72FEC40453}" formatIdx="1">
          <cx:axisId val="2"/>
        </cx:series>
        <cx:series layoutId="clusteredColumn" hidden="1" uniqueId="{FF0B220C-8DD8-49AF-BF1A-313479AFDFA8}" formatIdx="2">
          <cx:tx>
            <cx:txData>
              <cx:f>_xlchart.v1.1</cx:f>
              <cx:v>Cost of Revenue</cx:v>
            </cx:txData>
          </cx:tx>
          <cx:dataId val="1"/>
          <cx:layoutPr>
            <cx:binning intervalClosed="r"/>
          </cx:layoutPr>
          <cx:axisId val="1"/>
        </cx:series>
        <cx:series layoutId="paretoLine" ownerIdx="2" uniqueId="{E7D302B4-6044-4CBE-ABEE-A373AB0ED0C3}" formatIdx="3">
          <cx:axisId val="2"/>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1">
  <a:schemeClr val="accent1"/>
</cs:colorStyle>
</file>

<file path=xl/charts/colors25.xml><?xml version="1.0" encoding="utf-8"?>
<cs:colorStyle xmlns:cs="http://schemas.microsoft.com/office/drawing/2012/chartStyle" xmlns:a="http://schemas.openxmlformats.org/drawingml/2006/main" meth="withinLinearReversed" id="21">
  <a:schemeClr val="accent1"/>
</cs:colorStyle>
</file>

<file path=xl/charts/colors26.xml><?xml version="1.0" encoding="utf-8"?>
<cs:colorStyle xmlns:cs="http://schemas.microsoft.com/office/drawing/2012/chartStyle" xmlns:a="http://schemas.openxmlformats.org/drawingml/2006/main" meth="withinLinearReversed" id="21">
  <a:schemeClr val="accent1"/>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117A31E4-BB74-6A46-8D43-7592674C83ED}">
    <Anchor>
      <Comment id="{7017607A-624C-2E4D-92A6-1D2CE975BF44}"/>
    </Anchor>
    <History>
      <Event time="2025-11-26T16:37:46.59" id="{08B0FB23-A2AC-6341-A00A-ECB0AEF3225D}">
        <Attribution userId="S::u5725085@live.warwick.ac.uk::d6f5bc73-1d77-4089-8d03-04dcb42331ab" userName="KANNAN, GURUSHARAN (PGT)" userProvider="AD"/>
        <Anchor>
          <Comment id="{7017607A-624C-2E4D-92A6-1D2CE975BF44}"/>
        </Anchor>
        <Create/>
      </Event>
      <Event time="2025-11-26T16:37:46.59" id="{0A91BA20-8BDA-6D4E-9851-FDB501728828}">
        <Attribution userId="S::u5725085@live.warwick.ac.uk::d6f5bc73-1d77-4089-8d03-04dcb42331ab" userName="KANNAN, GURUSHARAN (PGT)" userProvider="AD"/>
        <Anchor>
          <Comment id="{7017607A-624C-2E4D-92A6-1D2CE975BF44}"/>
        </Anchor>
        <Assign userId="S::u5753132@live.warwick.ac.uk::d0ed8437-b772-46c4-a5e1-34bc3d4bdea0" userName="JORIGE, GEETANJALI (PGT)" userProvider="AD"/>
      </Event>
      <Event time="2025-11-26T16:37:46.59" id="{2B1008FF-3F06-2F44-A3C8-909EB53246E4}">
        <Attribution userId="S::u5725085@live.warwick.ac.uk::d6f5bc73-1d77-4089-8d03-04dcb42331ab" userName="KANNAN, GURUSHARAN (PGT)" userProvider="AD"/>
        <Anchor>
          <Comment id="{7017607A-624C-2E4D-92A6-1D2CE975BF44}"/>
        </Anchor>
        <SetTitle title="add YoY growth for metrics same as in AMD @JORIGE, GEETANJALI (PGT) and @HUANG, TING-HSUAN (PGT)"/>
      </Event>
    </History>
  </Task>
  <Task id="{32265EFE-44E7-734E-AF5C-F92F625DEFAD}">
    <Anchor>
      <Comment id="{18BFEF4E-192F-174C-B641-9FA4E52D029D}"/>
    </Anchor>
    <History>
      <Event time="2025-11-26T16:37:46.59" id="{08B0FB23-A2AC-6341-A00A-ECB0AEF3225D}">
        <Attribution userId="S::u5725085@live.warwick.ac.uk::d6f5bc73-1d77-4089-8d03-04dcb42331ab" userName="KANNAN, GURUSHARAN (PGT)" userProvider="AD"/>
        <Anchor>
          <Comment id="{18BFEF4E-192F-174C-B641-9FA4E52D029D}"/>
        </Anchor>
        <Create/>
      </Event>
      <Event time="2025-11-26T16:37:46.59" id="{0A91BA20-8BDA-6D4E-9851-FDB501728828}">
        <Attribution userId="S::u5725085@live.warwick.ac.uk::d6f5bc73-1d77-4089-8d03-04dcb42331ab" userName="KANNAN, GURUSHARAN (PGT)" userProvider="AD"/>
        <Anchor>
          <Comment id="{18BFEF4E-192F-174C-B641-9FA4E52D029D}"/>
        </Anchor>
        <Assign userId="S::u5753132@live.warwick.ac.uk::d0ed8437-b772-46c4-a5e1-34bc3d4bdea0" userName="JORIGE, GEETANJALI (PGT)" userProvider="AD"/>
      </Event>
      <Event time="2025-11-26T16:37:46.59" id="{2B1008FF-3F06-2F44-A3C8-909EB53246E4}">
        <Attribution userId="S::u5725085@live.warwick.ac.uk::d6f5bc73-1d77-4089-8d03-04dcb42331ab" userName="KANNAN, GURUSHARAN (PGT)" userProvider="AD"/>
        <Anchor>
          <Comment id="{18BFEF4E-192F-174C-B641-9FA4E52D029D}"/>
        </Anchor>
        <SetTitle title="add YoY growth for metrics same as in AMD @JORIGE, GEETANJALI (PGT) and @HUANG, TING-HSUAN (PGT)"/>
      </Event>
    </History>
  </Task>
</Tasks>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image" Target="../media/image1.png"/><Relationship Id="rId7" Type="http://schemas.openxmlformats.org/officeDocument/2006/relationships/chart" Target="../charts/chart48.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7.xml"/><Relationship Id="rId5" Type="http://schemas.microsoft.com/office/2014/relationships/chartEx" Target="../charts/chartEx1.xml"/><Relationship Id="rId4" Type="http://schemas.openxmlformats.org/officeDocument/2006/relationships/chart" Target="../charts/chart46.xml"/><Relationship Id="rId9" Type="http://schemas.openxmlformats.org/officeDocument/2006/relationships/chart" Target="../charts/chart5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58.xml"/><Relationship Id="rId3" Type="http://schemas.openxmlformats.org/officeDocument/2006/relationships/chart" Target="../charts/chart53.xml"/><Relationship Id="rId7" Type="http://schemas.openxmlformats.org/officeDocument/2006/relationships/chart" Target="../charts/chart57.xml"/><Relationship Id="rId2" Type="http://schemas.openxmlformats.org/officeDocument/2006/relationships/chart" Target="../charts/chart52.xml"/><Relationship Id="rId1" Type="http://schemas.openxmlformats.org/officeDocument/2006/relationships/chart" Target="../charts/chart51.xml"/><Relationship Id="rId6" Type="http://schemas.openxmlformats.org/officeDocument/2006/relationships/chart" Target="../charts/chart56.xml"/><Relationship Id="rId5" Type="http://schemas.openxmlformats.org/officeDocument/2006/relationships/chart" Target="../charts/chart55.xml"/><Relationship Id="rId10" Type="http://schemas.openxmlformats.org/officeDocument/2006/relationships/chart" Target="../charts/chart60.xml"/><Relationship Id="rId4" Type="http://schemas.openxmlformats.org/officeDocument/2006/relationships/chart" Target="../charts/chart54.xml"/><Relationship Id="rId9" Type="http://schemas.openxmlformats.org/officeDocument/2006/relationships/chart" Target="../charts/chart5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8.xml"/><Relationship Id="rId3" Type="http://schemas.openxmlformats.org/officeDocument/2006/relationships/chart" Target="../charts/chart63.xml"/><Relationship Id="rId7" Type="http://schemas.openxmlformats.org/officeDocument/2006/relationships/chart" Target="../charts/chart67.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xdr:from>
      <xdr:col>22</xdr:col>
      <xdr:colOff>12700</xdr:colOff>
      <xdr:row>104</xdr:row>
      <xdr:rowOff>12700</xdr:rowOff>
    </xdr:from>
    <xdr:to>
      <xdr:col>34</xdr:col>
      <xdr:colOff>12700</xdr:colOff>
      <xdr:row>113</xdr:row>
      <xdr:rowOff>165100</xdr:rowOff>
    </xdr:to>
    <xdr:sp macro="" textlink="">
      <xdr:nvSpPr>
        <xdr:cNvPr id="112" name="TextBox 30">
          <a:extLst>
            <a:ext uri="{FF2B5EF4-FFF2-40B4-BE49-F238E27FC236}">
              <a16:creationId xmlns:a16="http://schemas.microsoft.com/office/drawing/2014/main" id="{456210B8-C1A2-6896-E9B6-6B5B448875C7}"/>
            </a:ext>
          </a:extLst>
        </xdr:cNvPr>
        <xdr:cNvSpPr txBox="1"/>
      </xdr:nvSpPr>
      <xdr:spPr>
        <a:xfrm>
          <a:off x="22720300" y="19126200"/>
          <a:ext cx="7924800" cy="1778000"/>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Segment Analysis</a:t>
          </a:r>
        </a:p>
        <a:p>
          <a:pPr algn="l"/>
          <a:r>
            <a:rPr lang="en-GB" sz="1200"/>
            <a:t>- NVIDIA effectively manages its performance by directing its resources towards the fast-growing revenue generating areas </a:t>
          </a:r>
        </a:p>
        <a:p>
          <a:pPr algn="l"/>
          <a:r>
            <a:rPr lang="en-GB" sz="1200"/>
            <a:t>- Data Center &amp; AI and at the same time ceasing the exposure to the downturn segments like Gaming and Automotive. </a:t>
          </a:r>
        </a:p>
        <a:p>
          <a:pPr algn="l"/>
          <a:r>
            <a:rPr lang="en-GB" sz="1200"/>
            <a:t>- AMD proves to be capable by gradually getting hold of Data Center and Consumer while having Embedded and Gaming weaknesses that are less performing profiles. </a:t>
          </a:r>
        </a:p>
        <a:p>
          <a:pPr algn="l"/>
          <a:r>
            <a:rPr lang="en-GB" sz="1200"/>
            <a:t>- Intel's decline in most segments denotes a misalignment of performance, longer innovation cycles, and poor capital allocation.</a:t>
          </a:r>
        </a:p>
        <a:p>
          <a:pPr algn="l"/>
          <a:r>
            <a:rPr lang="en-GB" sz="1200"/>
            <a:t>-</a:t>
          </a:r>
          <a:r>
            <a:rPr lang="en-GB" sz="1200" baseline="0"/>
            <a:t> </a:t>
          </a:r>
          <a:r>
            <a:rPr lang="en-GB" sz="1200"/>
            <a:t>Qualcomm is witnessing performance management that is prudent as it keeps the Consumer leadership intact and at the same time expands rapidly in Automotive. </a:t>
          </a:r>
        </a:p>
      </xdr:txBody>
    </xdr:sp>
    <xdr:clientData/>
  </xdr:twoCellAnchor>
  <xdr:twoCellAnchor>
    <xdr:from>
      <xdr:col>9</xdr:col>
      <xdr:colOff>14942</xdr:colOff>
      <xdr:row>2</xdr:row>
      <xdr:rowOff>29882</xdr:rowOff>
    </xdr:from>
    <xdr:to>
      <xdr:col>18</xdr:col>
      <xdr:colOff>33866</xdr:colOff>
      <xdr:row>23</xdr:row>
      <xdr:rowOff>-1</xdr:rowOff>
    </xdr:to>
    <xdr:graphicFrame macro="">
      <xdr:nvGraphicFramePr>
        <xdr:cNvPr id="15" name="Chart 2">
          <a:extLst>
            <a:ext uri="{FF2B5EF4-FFF2-40B4-BE49-F238E27FC236}">
              <a16:creationId xmlns:a16="http://schemas.microsoft.com/office/drawing/2014/main" id="{783C1AAA-FE5D-9F2F-37E7-95858F5AC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651881</xdr:colOff>
      <xdr:row>2</xdr:row>
      <xdr:rowOff>6314</xdr:rowOff>
    </xdr:from>
    <xdr:to>
      <xdr:col>32</xdr:col>
      <xdr:colOff>0</xdr:colOff>
      <xdr:row>22</xdr:row>
      <xdr:rowOff>135466</xdr:rowOff>
    </xdr:to>
    <xdr:graphicFrame macro="">
      <xdr:nvGraphicFramePr>
        <xdr:cNvPr id="48" name="Chart 3">
          <a:extLst>
            <a:ext uri="{FF2B5EF4-FFF2-40B4-BE49-F238E27FC236}">
              <a16:creationId xmlns:a16="http://schemas.microsoft.com/office/drawing/2014/main" id="{644EA141-C8E1-B67A-3D3F-F4783164D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22831</xdr:colOff>
      <xdr:row>50</xdr:row>
      <xdr:rowOff>17385</xdr:rowOff>
    </xdr:from>
    <xdr:to>
      <xdr:col>18</xdr:col>
      <xdr:colOff>67733</xdr:colOff>
      <xdr:row>69</xdr:row>
      <xdr:rowOff>169333</xdr:rowOff>
    </xdr:to>
    <xdr:graphicFrame macro="">
      <xdr:nvGraphicFramePr>
        <xdr:cNvPr id="42" name="Chart 11">
          <a:extLst>
            <a:ext uri="{FF2B5EF4-FFF2-40B4-BE49-F238E27FC236}">
              <a16:creationId xmlns:a16="http://schemas.microsoft.com/office/drawing/2014/main" id="{E419FB0B-DC1B-DE64-01A3-D04058BA7762}"/>
            </a:ext>
            <a:ext uri="{147F2762-F138-4A5C-976F-8EAC2B608ADB}">
              <a16:predDERef xmlns:a16="http://schemas.microsoft.com/office/drawing/2014/main" pred="{644EA141-C8E1-B67A-3D3F-F4783164D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6350</xdr:colOff>
      <xdr:row>73</xdr:row>
      <xdr:rowOff>171450</xdr:rowOff>
    </xdr:from>
    <xdr:to>
      <xdr:col>28</xdr:col>
      <xdr:colOff>0</xdr:colOff>
      <xdr:row>88</xdr:row>
      <xdr:rowOff>76506</xdr:rowOff>
    </xdr:to>
    <xdr:graphicFrame macro="">
      <xdr:nvGraphicFramePr>
        <xdr:cNvPr id="2" name="Chart 1">
          <a:extLst>
            <a:ext uri="{FF2B5EF4-FFF2-40B4-BE49-F238E27FC236}">
              <a16:creationId xmlns:a16="http://schemas.microsoft.com/office/drawing/2014/main" id="{94C94A8A-5E48-4D35-3A2D-DFDE07233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12700</xdr:colOff>
      <xdr:row>74</xdr:row>
      <xdr:rowOff>19050</xdr:rowOff>
    </xdr:from>
    <xdr:to>
      <xdr:col>35</xdr:col>
      <xdr:colOff>642650</xdr:colOff>
      <xdr:row>88</xdr:row>
      <xdr:rowOff>61204</xdr:rowOff>
    </xdr:to>
    <xdr:graphicFrame macro="">
      <xdr:nvGraphicFramePr>
        <xdr:cNvPr id="5" name="Chart 4">
          <a:extLst>
            <a:ext uri="{FF2B5EF4-FFF2-40B4-BE49-F238E27FC236}">
              <a16:creationId xmlns:a16="http://schemas.microsoft.com/office/drawing/2014/main" id="{333E12DD-25F2-2FDD-1929-D24425890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14766</xdr:colOff>
      <xdr:row>89</xdr:row>
      <xdr:rowOff>36953</xdr:rowOff>
    </xdr:from>
    <xdr:to>
      <xdr:col>28</xdr:col>
      <xdr:colOff>30603</xdr:colOff>
      <xdr:row>103</xdr:row>
      <xdr:rowOff>0</xdr:rowOff>
    </xdr:to>
    <xdr:graphicFrame macro="">
      <xdr:nvGraphicFramePr>
        <xdr:cNvPr id="7" name="Chart 6">
          <a:extLst>
            <a:ext uri="{FF2B5EF4-FFF2-40B4-BE49-F238E27FC236}">
              <a16:creationId xmlns:a16="http://schemas.microsoft.com/office/drawing/2014/main" id="{34B77A73-5062-A37F-FF88-A2016C0C9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31217</xdr:colOff>
      <xdr:row>89</xdr:row>
      <xdr:rowOff>19052</xdr:rowOff>
    </xdr:from>
    <xdr:to>
      <xdr:col>36</xdr:col>
      <xdr:colOff>30602</xdr:colOff>
      <xdr:row>102</xdr:row>
      <xdr:rowOff>153013</xdr:rowOff>
    </xdr:to>
    <xdr:graphicFrame macro="">
      <xdr:nvGraphicFramePr>
        <xdr:cNvPr id="10" name="Chart 9">
          <a:extLst>
            <a:ext uri="{FF2B5EF4-FFF2-40B4-BE49-F238E27FC236}">
              <a16:creationId xmlns:a16="http://schemas.microsoft.com/office/drawing/2014/main" id="{88083832-C0BF-D551-7F88-8BC3EDC00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220134</xdr:colOff>
      <xdr:row>4</xdr:row>
      <xdr:rowOff>9525</xdr:rowOff>
    </xdr:from>
    <xdr:to>
      <xdr:col>22</xdr:col>
      <xdr:colOff>67734</xdr:colOff>
      <xdr:row>20</xdr:row>
      <xdr:rowOff>33866</xdr:rowOff>
    </xdr:to>
    <xdr:sp macro="" textlink="">
      <xdr:nvSpPr>
        <xdr:cNvPr id="75" name="TextBox 7">
          <a:extLst>
            <a:ext uri="{FF2B5EF4-FFF2-40B4-BE49-F238E27FC236}">
              <a16:creationId xmlns:a16="http://schemas.microsoft.com/office/drawing/2014/main" id="{D37F2310-ECC2-2EB4-2901-C2005FF7087D}"/>
            </a:ext>
            <a:ext uri="{147F2762-F138-4A5C-976F-8EAC2B608ADB}">
              <a16:predDERef xmlns:a16="http://schemas.microsoft.com/office/drawing/2014/main" pred="{88083832-C0BF-D551-7F88-8BC3EDC00D8B}"/>
            </a:ext>
          </a:extLst>
        </xdr:cNvPr>
        <xdr:cNvSpPr txBox="1"/>
      </xdr:nvSpPr>
      <xdr:spPr>
        <a:xfrm>
          <a:off x="20116801" y="890058"/>
          <a:ext cx="2692400" cy="3021541"/>
        </a:xfrm>
        <a:prstGeom prst="rect">
          <a:avLst/>
        </a:prstGeom>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YOY REVENUE GROWTH </a:t>
          </a:r>
        </a:p>
        <a:p>
          <a:pPr marL="0" indent="0" algn="l"/>
          <a:r>
            <a:rPr lang="en-US" sz="1100" b="0" i="0" u="none" strike="noStrike">
              <a:solidFill>
                <a:srgbClr val="000000"/>
              </a:solidFill>
              <a:latin typeface="Aptos Narrow" panose="020B0004020202020204" pitchFamily="34" charset="0"/>
            </a:rPr>
            <a:t> Decline during 2022-2023 -  Rapid increase in financial costs, the collapse of cryptocurrency, and lower purchasing power. </a:t>
          </a:r>
        </a:p>
        <a:p>
          <a:pPr marL="0" indent="0" algn="l"/>
          <a:r>
            <a:rPr lang="en-US" sz="1100" b="0" i="0" u="none" strike="noStrike">
              <a:solidFill>
                <a:srgbClr val="000000"/>
              </a:solidFill>
              <a:latin typeface="Aptos Narrow" panose="020B0004020202020204" pitchFamily="34" charset="0"/>
            </a:rPr>
            <a:t>Geopolitical Tension - the US government's restriction on advanced semiconductor technologies and manufacturing equipment caused a decline in the companies' fortunes</a:t>
          </a:r>
        </a:p>
        <a:p>
          <a:pPr marL="0" indent="0" algn="l"/>
          <a:r>
            <a:rPr lang="en-US" sz="1100" b="0" i="0" u="none" strike="noStrike">
              <a:solidFill>
                <a:srgbClr val="000000"/>
              </a:solidFill>
              <a:latin typeface="Aptos Narrow" panose="020B0004020202020204" pitchFamily="34" charset="0"/>
            </a:rPr>
            <a:t>FY2023 - Pandemic-driven boom </a:t>
          </a:r>
        </a:p>
        <a:p>
          <a:pPr marL="0" indent="0" algn="l"/>
          <a:r>
            <a:rPr lang="en-US" sz="1100" b="0" i="0" u="none" strike="noStrike">
              <a:solidFill>
                <a:srgbClr val="000000"/>
              </a:solidFill>
              <a:latin typeface="Aptos Narrow" panose="020B0004020202020204" pitchFamily="34" charset="0"/>
            </a:rPr>
            <a:t>NVIDIA - Surging demand for its GPUs to set up AI infrastructure.</a:t>
          </a:r>
        </a:p>
        <a:p>
          <a:pPr marL="0" indent="0" algn="l"/>
          <a:r>
            <a:rPr lang="en-US" sz="1100" b="0" i="0" u="none" strike="noStrike">
              <a:solidFill>
                <a:srgbClr val="000000"/>
              </a:solidFill>
              <a:latin typeface="Aptos Narrow" panose="020B0004020202020204" pitchFamily="34" charset="0"/>
            </a:rPr>
            <a:t>ARM - licensing and royalty-based business model and expanding into high-growth markets beyond smartphones. (Resilience)</a:t>
          </a:r>
        </a:p>
        <a:p>
          <a:pPr marL="0" indent="0" algn="l"/>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xdr:txBody>
    </xdr:sp>
    <xdr:clientData/>
  </xdr:twoCellAnchor>
  <xdr:twoCellAnchor>
    <xdr:from>
      <xdr:col>18</xdr:col>
      <xdr:colOff>221193</xdr:colOff>
      <xdr:row>27</xdr:row>
      <xdr:rowOff>9525</xdr:rowOff>
    </xdr:from>
    <xdr:to>
      <xdr:col>22</xdr:col>
      <xdr:colOff>33866</xdr:colOff>
      <xdr:row>44</xdr:row>
      <xdr:rowOff>0</xdr:rowOff>
    </xdr:to>
    <xdr:sp macro="" textlink="">
      <xdr:nvSpPr>
        <xdr:cNvPr id="88" name="TextBox 10">
          <a:extLst>
            <a:ext uri="{FF2B5EF4-FFF2-40B4-BE49-F238E27FC236}">
              <a16:creationId xmlns:a16="http://schemas.microsoft.com/office/drawing/2014/main" id="{88DBA26B-56AA-DC82-C8EC-AF96E99446F2}"/>
            </a:ext>
            <a:ext uri="{147F2762-F138-4A5C-976F-8EAC2B608ADB}">
              <a16:predDERef xmlns:a16="http://schemas.microsoft.com/office/drawing/2014/main" pred="{D37F2310-ECC2-2EB4-2901-C2005FF7087D}"/>
            </a:ext>
          </a:extLst>
        </xdr:cNvPr>
        <xdr:cNvSpPr txBox="1"/>
      </xdr:nvSpPr>
      <xdr:spPr>
        <a:xfrm>
          <a:off x="20117860" y="5208058"/>
          <a:ext cx="2657473" cy="3190875"/>
        </a:xfrm>
        <a:prstGeom prst="rect">
          <a:avLst/>
        </a:prstGeom>
        <a:solidFill>
          <a:schemeClr val="bg2">
            <a:lumMod val="90000"/>
          </a:schemeClr>
        </a:solidFill>
        <a:ln w="25400"/>
      </xdr:spPr>
      <xdr:style>
        <a:lnRef idx="1">
          <a:schemeClr val="dk1"/>
        </a:lnRef>
        <a:fillRef idx="2">
          <a:schemeClr val="dk1"/>
        </a:fillRef>
        <a:effectRef idx="1">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YOY OPEX GROWTH</a:t>
          </a:r>
          <a:endParaRPr lang="en-US" sz="1100" b="1"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Every  compan</a:t>
          </a:r>
          <a:r>
            <a:rPr lang="en-US" sz="1100" b="0" i="0" u="none" strike="noStrike">
              <a:solidFill>
                <a:srgbClr val="000000"/>
              </a:solidFill>
              <a:latin typeface="Aptos Narrow" panose="020B0004020202020204" pitchFamily="34" charset="0"/>
            </a:rPr>
            <a:t>y</a:t>
          </a:r>
          <a:r>
            <a:rPr lang="en-US" sz="1100" b="0" i="0" u="none" strike="noStrike">
              <a:solidFill>
                <a:srgbClr val="000000"/>
              </a:solidFill>
              <a:latin typeface="+mn-lt"/>
              <a:ea typeface="+mn-lt"/>
              <a:cs typeface="+mn-lt"/>
            </a:rPr>
            <a:t> is moving into the AI world with the idea that they are investing in R&amp;D thus, it is leading to an increase in operating expenses for all but at the same time, the discrepancies are being noticed.</a:t>
          </a:r>
        </a:p>
        <a:p>
          <a:pPr marL="0" indent="0" algn="l"/>
          <a:r>
            <a:rPr lang="en-US" sz="1100" b="0" i="0" u="none" strike="noStrike">
              <a:solidFill>
                <a:srgbClr val="000000"/>
              </a:solidFill>
              <a:latin typeface="+mn-lt"/>
              <a:ea typeface="+mn-lt"/>
              <a:cs typeface="+mn-lt"/>
            </a:rPr>
            <a:t>AMD</a:t>
          </a:r>
          <a:r>
            <a:rPr lang="en-US" sz="1100" b="0" i="0" u="none" strike="noStrike">
              <a:solidFill>
                <a:srgbClr val="000000"/>
              </a:solidFill>
              <a:latin typeface="Aptos Narrow" panose="020B0004020202020204" pitchFamily="34" charset="0"/>
            </a:rPr>
            <a:t>-</a:t>
          </a:r>
          <a:r>
            <a:rPr lang="en-US" sz="1100" b="0" i="0" u="none" strike="noStrike">
              <a:solidFill>
                <a:srgbClr val="000000"/>
              </a:solidFill>
              <a:latin typeface="+mn-lt"/>
              <a:ea typeface="+mn-lt"/>
              <a:cs typeface="+mn-lt"/>
            </a:rPr>
            <a:t> sharp increase </a:t>
          </a:r>
          <a:r>
            <a:rPr lang="en-US" sz="1100" b="0" i="0" u="none" strike="noStrike">
              <a:solidFill>
                <a:srgbClr val="000000"/>
              </a:solidFill>
              <a:latin typeface="Aptos Narrow" panose="020B0004020202020204" pitchFamily="34" charset="0"/>
            </a:rPr>
            <a:t>due</a:t>
          </a:r>
          <a:r>
            <a:rPr lang="en-US" sz="1100" b="0" i="0" u="none" strike="noStrike">
              <a:solidFill>
                <a:srgbClr val="000000"/>
              </a:solidFill>
              <a:latin typeface="+mn-lt"/>
              <a:ea typeface="+mn-lt"/>
              <a:cs typeface="+mn-lt"/>
            </a:rPr>
            <a:t> </a:t>
          </a:r>
          <a:r>
            <a:rPr lang="en-US" sz="1100" b="0" i="0" u="none" strike="noStrike">
              <a:solidFill>
                <a:srgbClr val="000000"/>
              </a:solidFill>
              <a:latin typeface="Aptos Narrow" panose="020B0004020202020204" pitchFamily="34" charset="0"/>
            </a:rPr>
            <a:t>to </a:t>
          </a:r>
          <a:r>
            <a:rPr lang="en-US" sz="1100" b="0" i="0" u="none" strike="noStrike">
              <a:solidFill>
                <a:srgbClr val="000000"/>
              </a:solidFill>
              <a:latin typeface="+mn-lt"/>
              <a:ea typeface="+mn-lt"/>
              <a:cs typeface="+mn-lt"/>
            </a:rPr>
            <a:t> XILINX</a:t>
          </a:r>
          <a:r>
            <a:rPr lang="en-US" sz="1100" b="0" i="0" u="none" strike="noStrike">
              <a:solidFill>
                <a:srgbClr val="000000"/>
              </a:solidFill>
              <a:latin typeface="Aptos Narrow" panose="020B0004020202020204" pitchFamily="34" charset="0"/>
            </a:rPr>
            <a:t> acquisition</a:t>
          </a:r>
          <a:r>
            <a:rPr lang="en-US" sz="1100" b="0" i="0" u="none" strike="noStrike">
              <a:solidFill>
                <a:srgbClr val="000000"/>
              </a:solidFill>
              <a:latin typeface="+mn-lt"/>
              <a:ea typeface="+mn-lt"/>
              <a:cs typeface="+mn-lt"/>
            </a:rPr>
            <a:t> </a:t>
          </a:r>
          <a:r>
            <a:rPr lang="en-US" sz="1100" b="0" i="0" u="none" strike="noStrike">
              <a:solidFill>
                <a:srgbClr val="000000"/>
              </a:solidFill>
              <a:latin typeface="Aptos Narrow" panose="020B0004020202020204" pitchFamily="34" charset="0"/>
            </a:rPr>
            <a:t>and</a:t>
          </a:r>
          <a:r>
            <a:rPr lang="en-US" sz="1100" b="0" i="0" u="none" strike="noStrike">
              <a:solidFill>
                <a:srgbClr val="000000"/>
              </a:solidFill>
              <a:latin typeface="+mn-lt"/>
              <a:ea typeface="+mn-lt"/>
              <a:cs typeface="+mn-lt"/>
            </a:rPr>
            <a:t> </a:t>
          </a:r>
          <a:r>
            <a:rPr lang="en-US" sz="1100" b="0" i="0" u="none" strike="noStrike">
              <a:solidFill>
                <a:srgbClr val="000000"/>
              </a:solidFill>
              <a:latin typeface="Aptos Narrow" panose="020B0004020202020204" pitchFamily="34" charset="0"/>
            </a:rPr>
            <a:t> </a:t>
          </a:r>
          <a:r>
            <a:rPr lang="en-US" sz="1100" b="0" i="0" u="none" strike="noStrike">
              <a:solidFill>
                <a:srgbClr val="000000"/>
              </a:solidFill>
              <a:latin typeface="+mn-lt"/>
              <a:ea typeface="+mn-lt"/>
              <a:cs typeface="+mn-lt"/>
            </a:rPr>
            <a:t>rise in spending due to the strategic shift in the AI sector such as data centers, embedded AI</a:t>
          </a:r>
          <a:r>
            <a:rPr lang="en-US" sz="1100" b="0" i="0" u="none" strike="noStrike">
              <a:solidFill>
                <a:srgbClr val="000000"/>
              </a:solidFill>
              <a:latin typeface="Aptos Narrow" panose="020B0004020202020204" pitchFamily="34" charset="0"/>
            </a:rPr>
            <a:t>.</a:t>
          </a:r>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Arm</a:t>
          </a:r>
          <a:r>
            <a:rPr lang="en-US" sz="1100" b="0" i="0" u="none" strike="noStrike">
              <a:solidFill>
                <a:srgbClr val="000000"/>
              </a:solidFill>
              <a:latin typeface="Aptos Narrow" panose="020B0004020202020204" pitchFamily="34" charset="0"/>
            </a:rPr>
            <a:t>-</a:t>
          </a:r>
          <a:r>
            <a:rPr lang="en-US" sz="1100" b="0" i="0" u="none" strike="noStrike">
              <a:solidFill>
                <a:srgbClr val="000000"/>
              </a:solidFill>
              <a:latin typeface="+mn-lt"/>
              <a:ea typeface="+mn-lt"/>
              <a:cs typeface="+mn-lt"/>
            </a:rPr>
            <a:t> higher R&amp;D expenses from larger workforce and lower grant income (Innovate UK), and also the SG&amp;A costs went up. The company also spent significantly on restructuring and related charges.</a:t>
          </a:r>
        </a:p>
      </xdr:txBody>
    </xdr:sp>
    <xdr:clientData/>
  </xdr:twoCellAnchor>
  <xdr:twoCellAnchor>
    <xdr:from>
      <xdr:col>32</xdr:col>
      <xdr:colOff>136525</xdr:colOff>
      <xdr:row>5</xdr:row>
      <xdr:rowOff>152400</xdr:rowOff>
    </xdr:from>
    <xdr:to>
      <xdr:col>36</xdr:col>
      <xdr:colOff>491066</xdr:colOff>
      <xdr:row>21</xdr:row>
      <xdr:rowOff>33867</xdr:rowOff>
    </xdr:to>
    <xdr:sp macro="" textlink="">
      <xdr:nvSpPr>
        <xdr:cNvPr id="87" name="TextBox 12">
          <a:extLst>
            <a:ext uri="{FF2B5EF4-FFF2-40B4-BE49-F238E27FC236}">
              <a16:creationId xmlns:a16="http://schemas.microsoft.com/office/drawing/2014/main" id="{8ED0F732-CAE7-0B6B-81BC-A44EF371ACD9}"/>
            </a:ext>
            <a:ext uri="{147F2762-F138-4A5C-976F-8EAC2B608ADB}">
              <a16:predDERef xmlns:a16="http://schemas.microsoft.com/office/drawing/2014/main" pred="{88DBA26B-56AA-DC82-C8EC-AF96E99446F2}"/>
            </a:ext>
          </a:extLst>
        </xdr:cNvPr>
        <xdr:cNvSpPr txBox="1"/>
      </xdr:nvSpPr>
      <xdr:spPr>
        <a:xfrm>
          <a:off x="29481992" y="1219200"/>
          <a:ext cx="2996141" cy="2895600"/>
        </a:xfrm>
        <a:prstGeom prst="roundRect">
          <a:avLst/>
        </a:prstGeom>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ea typeface="+mn-ea"/>
              <a:cs typeface="+mn-cs"/>
            </a:rPr>
            <a:t>CAGR (Compound Annual Growth Rate)</a:t>
          </a:r>
        </a:p>
        <a:p>
          <a:pPr marL="0" indent="0" algn="l"/>
          <a:r>
            <a:rPr lang="en-US" sz="1100" b="1" i="0" u="none" strike="noStrike">
              <a:solidFill>
                <a:srgbClr val="000000"/>
              </a:solidFill>
              <a:latin typeface="Aptos Narrow" panose="020B0004020202020204" pitchFamily="34" charset="0"/>
              <a:ea typeface="+mn-ea"/>
              <a:cs typeface="+mn-cs"/>
            </a:rPr>
            <a:t>NVIDIA - High CAGR -  company is taking over the market - less volatile</a:t>
          </a:r>
        </a:p>
        <a:p>
          <a:pPr marL="0" indent="0" algn="l"/>
          <a:r>
            <a:rPr lang="en-US" sz="1100" b="1" i="0" u="none" strike="noStrike">
              <a:solidFill>
                <a:srgbClr val="000000"/>
              </a:solidFill>
              <a:latin typeface="Aptos Narrow" panose="020B0004020202020204" pitchFamily="34" charset="0"/>
              <a:ea typeface="+mn-ea"/>
              <a:cs typeface="+mn-cs"/>
            </a:rPr>
            <a:t> Intel is showing a reverse trend -  because the company has had insufficient revenue, paring down of margins and higher costs</a:t>
          </a:r>
        </a:p>
        <a:p>
          <a:pPr marL="0" indent="0" algn="l"/>
          <a:r>
            <a:rPr lang="en-US" sz="1100" b="1" i="0" u="none" strike="noStrike">
              <a:solidFill>
                <a:srgbClr val="000000"/>
              </a:solidFill>
              <a:latin typeface="Aptos Narrow" panose="020B0004020202020204" pitchFamily="34" charset="0"/>
              <a:ea typeface="+mn-ea"/>
              <a:cs typeface="+mn-cs"/>
            </a:rPr>
            <a:t>- Poor manufacturing practices and operating at below capacity drove up costs </a:t>
          </a:r>
        </a:p>
        <a:p>
          <a:pPr marL="0" indent="0" algn="l"/>
          <a:r>
            <a:rPr lang="en-US" sz="1100" b="1" i="0" u="none" strike="noStrike">
              <a:solidFill>
                <a:srgbClr val="000000"/>
              </a:solidFill>
              <a:latin typeface="Aptos Narrow" panose="020B0004020202020204" pitchFamily="34" charset="0"/>
              <a:ea typeface="+mn-ea"/>
              <a:cs typeface="+mn-cs"/>
            </a:rPr>
            <a:t>- Loss suffered by Intel’s foundry division </a:t>
          </a:r>
        </a:p>
        <a:p>
          <a:pPr marL="0" indent="0" algn="l"/>
          <a:r>
            <a:rPr lang="en-US" sz="1100" b="1" i="0" u="none" strike="noStrike">
              <a:solidFill>
                <a:srgbClr val="000000"/>
              </a:solidFill>
              <a:latin typeface="Aptos Narrow" panose="020B0004020202020204" pitchFamily="34" charset="0"/>
              <a:ea typeface="+mn-ea"/>
              <a:cs typeface="+mn-cs"/>
            </a:rPr>
            <a:t>- Strong competition from companies like AMD, Nvidia, and the ARM-based ones greatly reduced Intel's market share. </a:t>
          </a:r>
        </a:p>
      </xdr:txBody>
    </xdr:sp>
    <xdr:clientData/>
  </xdr:twoCellAnchor>
  <xdr:twoCellAnchor>
    <xdr:from>
      <xdr:col>37</xdr:col>
      <xdr:colOff>8658</xdr:colOff>
      <xdr:row>74</xdr:row>
      <xdr:rowOff>6638</xdr:rowOff>
    </xdr:from>
    <xdr:to>
      <xdr:col>44</xdr:col>
      <xdr:colOff>260120</xdr:colOff>
      <xdr:row>88</xdr:row>
      <xdr:rowOff>91807</xdr:rowOff>
    </xdr:to>
    <xdr:graphicFrame macro="">
      <xdr:nvGraphicFramePr>
        <xdr:cNvPr id="37" name="Chart 36">
          <a:extLst>
            <a:ext uri="{FF2B5EF4-FFF2-40B4-BE49-F238E27FC236}">
              <a16:creationId xmlns:a16="http://schemas.microsoft.com/office/drawing/2014/main" id="{BA2FDE33-A652-C329-ECD9-6555F8866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3681</xdr:colOff>
      <xdr:row>25</xdr:row>
      <xdr:rowOff>5642</xdr:rowOff>
    </xdr:from>
    <xdr:to>
      <xdr:col>31</xdr:col>
      <xdr:colOff>647700</xdr:colOff>
      <xdr:row>46</xdr:row>
      <xdr:rowOff>152400</xdr:rowOff>
    </xdr:to>
    <xdr:graphicFrame macro="">
      <xdr:nvGraphicFramePr>
        <xdr:cNvPr id="20" name="Chart 37">
          <a:extLst>
            <a:ext uri="{FF2B5EF4-FFF2-40B4-BE49-F238E27FC236}">
              <a16:creationId xmlns:a16="http://schemas.microsoft.com/office/drawing/2014/main" id="{AFA54660-3845-5CD6-B8E1-B83CFB0FE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653967</xdr:colOff>
      <xdr:row>49</xdr:row>
      <xdr:rowOff>155080</xdr:rowOff>
    </xdr:from>
    <xdr:to>
      <xdr:col>31</xdr:col>
      <xdr:colOff>612322</xdr:colOff>
      <xdr:row>70</xdr:row>
      <xdr:rowOff>0</xdr:rowOff>
    </xdr:to>
    <xdr:graphicFrame macro="">
      <xdr:nvGraphicFramePr>
        <xdr:cNvPr id="41" name="Chart 40">
          <a:extLst>
            <a:ext uri="{FF2B5EF4-FFF2-40B4-BE49-F238E27FC236}">
              <a16:creationId xmlns:a16="http://schemas.microsoft.com/office/drawing/2014/main" id="{B4EF15B2-CF22-AAA9-216C-050D87C37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18023</xdr:colOff>
      <xdr:row>50</xdr:row>
      <xdr:rowOff>9680</xdr:rowOff>
    </xdr:from>
    <xdr:to>
      <xdr:col>46</xdr:col>
      <xdr:colOff>644770</xdr:colOff>
      <xdr:row>70</xdr:row>
      <xdr:rowOff>-1</xdr:rowOff>
    </xdr:to>
    <xdr:graphicFrame macro="">
      <xdr:nvGraphicFramePr>
        <xdr:cNvPr id="6" name="Chart 43">
          <a:extLst>
            <a:ext uri="{FF2B5EF4-FFF2-40B4-BE49-F238E27FC236}">
              <a16:creationId xmlns:a16="http://schemas.microsoft.com/office/drawing/2014/main" id="{0A985B95-F585-B449-9E32-26E888D596FD}"/>
            </a:ext>
            <a:ext uri="{147F2762-F138-4A5C-976F-8EAC2B608ADB}">
              <a16:predDERef xmlns:a16="http://schemas.microsoft.com/office/drawing/2014/main" pred="{B4EF15B2-CF22-AAA9-216C-050D87C37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781409</xdr:colOff>
      <xdr:row>25</xdr:row>
      <xdr:rowOff>12990</xdr:rowOff>
    </xdr:from>
    <xdr:to>
      <xdr:col>18</xdr:col>
      <xdr:colOff>16933</xdr:colOff>
      <xdr:row>47</xdr:row>
      <xdr:rowOff>118535</xdr:rowOff>
    </xdr:to>
    <xdr:graphicFrame macro="">
      <xdr:nvGraphicFramePr>
        <xdr:cNvPr id="27" name="Chart 44">
          <a:extLst>
            <a:ext uri="{FF2B5EF4-FFF2-40B4-BE49-F238E27FC236}">
              <a16:creationId xmlns:a16="http://schemas.microsoft.com/office/drawing/2014/main" id="{E0ABA60B-4590-BC3A-EDF9-0AC4290B2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43570</xdr:colOff>
      <xdr:row>24</xdr:row>
      <xdr:rowOff>167162</xdr:rowOff>
    </xdr:from>
    <xdr:to>
      <xdr:col>47</xdr:col>
      <xdr:colOff>0</xdr:colOff>
      <xdr:row>46</xdr:row>
      <xdr:rowOff>136769</xdr:rowOff>
    </xdr:to>
    <xdr:graphicFrame macro="">
      <xdr:nvGraphicFramePr>
        <xdr:cNvPr id="56" name="Chart 46">
          <a:extLst>
            <a:ext uri="{FF2B5EF4-FFF2-40B4-BE49-F238E27FC236}">
              <a16:creationId xmlns:a16="http://schemas.microsoft.com/office/drawing/2014/main" id="{EF890205-E6E0-CCC9-167C-FAD093D44CDC}"/>
            </a:ext>
            <a:ext uri="{147F2762-F138-4A5C-976F-8EAC2B608ADB}">
              <a16:predDERef xmlns:a16="http://schemas.microsoft.com/office/drawing/2014/main" pred="{E0ABA60B-4590-BC3A-EDF9-0AC4290B2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9524</xdr:colOff>
      <xdr:row>8</xdr:row>
      <xdr:rowOff>103798</xdr:rowOff>
    </xdr:from>
    <xdr:to>
      <xdr:col>44</xdr:col>
      <xdr:colOff>68648</xdr:colOff>
      <xdr:row>19</xdr:row>
      <xdr:rowOff>120575</xdr:rowOff>
    </xdr:to>
    <xdr:sp macro="" textlink="">
      <xdr:nvSpPr>
        <xdr:cNvPr id="73" name="TextBox 47">
          <a:extLst>
            <a:ext uri="{FF2B5EF4-FFF2-40B4-BE49-F238E27FC236}">
              <a16:creationId xmlns:a16="http://schemas.microsoft.com/office/drawing/2014/main" id="{50F3B013-AEE2-2B79-3E6A-07A70DA9E0CB}"/>
            </a:ext>
            <a:ext uri="{147F2762-F138-4A5C-976F-8EAC2B608ADB}">
              <a16:predDERef xmlns:a16="http://schemas.microsoft.com/office/drawing/2014/main" pred="{EF890205-E6E0-CCC9-167C-FAD093D44CDC}"/>
            </a:ext>
          </a:extLst>
        </xdr:cNvPr>
        <xdr:cNvSpPr txBox="1"/>
      </xdr:nvSpPr>
      <xdr:spPr>
        <a:xfrm>
          <a:off x="32658293" y="1666875"/>
          <a:ext cx="4709278" cy="1970623"/>
        </a:xfrm>
        <a:prstGeom prst="rect">
          <a:avLst/>
        </a:prstGeom>
        <a:solidFill>
          <a:schemeClr val="lt1"/>
        </a:solidFill>
        <a:ln w="9525" cmpd="sng">
          <a:solidFill>
            <a:schemeClr val="lt1">
              <a:shade val="50000"/>
            </a:schemeClr>
          </a:solidFill>
        </a:ln>
      </xdr:spPr>
      <xdr:txBody>
        <a:bodyPr vertOverflow="clip" horzOverflow="clip" rtlCol="0" anchor="t"/>
        <a:lstStyle/>
        <a:p>
          <a:pPr marL="0" indent="0" algn="l"/>
          <a:r>
            <a:rPr lang="en-US" sz="1100">
              <a:latin typeface="+mn-lt"/>
              <a:ea typeface="+mn-lt"/>
              <a:cs typeface="+mn-lt"/>
            </a:rPr>
            <a:t>High and rising operating margin (such as NVIDIA, TSMC) commonly indicates very strong competitive advantage, great cost controlling, and significant demand/pricing power.</a:t>
          </a:r>
        </a:p>
        <a:p>
          <a:pPr marL="0" indent="0" algn="l"/>
          <a:endParaRPr lang="en-US" sz="1100">
            <a:latin typeface="+mn-lt"/>
            <a:ea typeface="+mn-lt"/>
            <a:cs typeface="+mn-lt"/>
          </a:endParaRPr>
        </a:p>
        <a:p>
          <a:pPr marL="0" indent="0" algn="l"/>
          <a:r>
            <a:rPr lang="en-US" sz="1100">
              <a:latin typeface="+mn-lt"/>
              <a:ea typeface="+mn-lt"/>
              <a:cs typeface="+mn-lt"/>
            </a:rPr>
            <a:t>Fluctuating or falling margin (like AMD, Intel, ARM) indicates the business/market difficulties, rising costs (R&amp;D, restructuring), product-cycle swings, or strategic transitions.</a:t>
          </a:r>
        </a:p>
        <a:p>
          <a:pPr marL="0" indent="0" algn="l"/>
          <a:endParaRPr lang="en-US" sz="1100">
            <a:latin typeface="+mn-lt"/>
            <a:ea typeface="+mn-lt"/>
            <a:cs typeface="+mn-lt"/>
          </a:endParaRPr>
        </a:p>
        <a:p>
          <a:pPr marL="0" indent="0" algn="l"/>
          <a:r>
            <a:rPr lang="en-US" sz="1100">
              <a:latin typeface="+mn-lt"/>
              <a:ea typeface="+mn-lt"/>
              <a:cs typeface="+mn-lt"/>
            </a:rPr>
            <a:t>For</a:t>
          </a:r>
          <a:r>
            <a:rPr lang="en-US" sz="1100" baseline="0">
              <a:latin typeface="+mn-lt"/>
              <a:ea typeface="+mn-lt"/>
              <a:cs typeface="+mn-lt"/>
            </a:rPr>
            <a:t> </a:t>
          </a:r>
          <a:r>
            <a:rPr lang="en-US" sz="1100">
              <a:latin typeface="+mn-lt"/>
              <a:ea typeface="+mn-lt"/>
              <a:cs typeface="+mn-lt"/>
            </a:rPr>
            <a:t>licensing- or foundry-based company (TSMC, Qualcomm, ARM), stable margins mean that the firm has a scalable business model, recurring revenue, control over costs or licensing economics.</a:t>
          </a:r>
        </a:p>
      </xdr:txBody>
    </xdr:sp>
    <xdr:clientData/>
  </xdr:twoCellAnchor>
  <xdr:twoCellAnchor>
    <xdr:from>
      <xdr:col>32</xdr:col>
      <xdr:colOff>335387</xdr:colOff>
      <xdr:row>49</xdr:row>
      <xdr:rowOff>153147</xdr:rowOff>
    </xdr:from>
    <xdr:to>
      <xdr:col>37</xdr:col>
      <xdr:colOff>521609</xdr:colOff>
      <xdr:row>70</xdr:row>
      <xdr:rowOff>45357</xdr:rowOff>
    </xdr:to>
    <xdr:sp macro="" textlink="">
      <xdr:nvSpPr>
        <xdr:cNvPr id="90" name="TextBox 5">
          <a:extLst>
            <a:ext uri="{FF2B5EF4-FFF2-40B4-BE49-F238E27FC236}">
              <a16:creationId xmlns:a16="http://schemas.microsoft.com/office/drawing/2014/main" id="{8394EC2D-2DBC-19D9-D4E8-EFF925460196}"/>
            </a:ext>
            <a:ext uri="{147F2762-F138-4A5C-976F-8EAC2B608ADB}">
              <a16:predDERef xmlns:a16="http://schemas.microsoft.com/office/drawing/2014/main" pred="{50F3B013-AEE2-2B79-3E6A-07A70DA9E0CB}"/>
            </a:ext>
          </a:extLst>
        </xdr:cNvPr>
        <xdr:cNvSpPr txBox="1"/>
      </xdr:nvSpPr>
      <xdr:spPr>
        <a:xfrm>
          <a:off x="29681458" y="9292611"/>
          <a:ext cx="3474615" cy="3747567"/>
        </a:xfrm>
        <a:prstGeom prst="rect">
          <a:avLst/>
        </a:prstGeom>
        <a:solidFill>
          <a:schemeClr val="accent5">
            <a:lumMod val="40000"/>
            <a:lumOff val="60000"/>
          </a:schemeClr>
        </a:solidFill>
        <a:ln w="25400"/>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ctr"/>
          <a:r>
            <a:rPr lang="en-US" sz="1100" b="1" i="0" u="none" strike="noStrike">
              <a:solidFill>
                <a:srgbClr val="000000"/>
              </a:solidFill>
              <a:latin typeface="Aptos Narrow" panose="020B0004020202020204" pitchFamily="34" charset="0"/>
            </a:rPr>
            <a:t>OPERATING PROFIT MARGIN AVERAGE YOY</a:t>
          </a: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 NVIDIA - AI-driven expansion that is the Graphics Processing Unit (GPU). In FY 2024, NIVIDIA also surpassed TSMC in operating profit margin (54%).</a:t>
          </a:r>
        </a:p>
        <a:p>
          <a:pPr marL="0" indent="0" algn="l"/>
          <a:r>
            <a:rPr lang="en-US" sz="1100" b="0" i="0" u="none" strike="noStrike">
              <a:solidFill>
                <a:srgbClr val="000000"/>
              </a:solidFill>
              <a:latin typeface="Aptos Narrow" panose="020B0004020202020204" pitchFamily="34" charset="0"/>
            </a:rPr>
            <a:t>AMD got the highest average operating profit margin YOY increase, which primarily indicates that the company has good operational efficiency </a:t>
          </a:r>
        </a:p>
        <a:p>
          <a:pPr marL="0" indent="0" algn="l"/>
          <a:r>
            <a:rPr lang="en-US" sz="1100" b="0" i="0" u="none" strike="noStrike">
              <a:solidFill>
                <a:srgbClr val="000000"/>
              </a:solidFill>
              <a:latin typeface="Aptos Narrow" panose="020B0004020202020204" pitchFamily="34" charset="0"/>
            </a:rPr>
            <a:t>The margin of TSMC being just near 2% does not imply that the company is underperforming but rather it has been maintaining its top position with around 45% as the highest and stabilized operating profit margin. Qualcomm is also securing its operating margin at approximately 23%. </a:t>
          </a:r>
        </a:p>
        <a:p>
          <a:pPr marL="0" indent="0" algn="l"/>
          <a:r>
            <a:rPr lang="en-US" sz="1100" b="0" i="0" u="none" strike="noStrike">
              <a:solidFill>
                <a:srgbClr val="000000"/>
              </a:solidFill>
              <a:latin typeface="Aptos Narrow" panose="020B0004020202020204" pitchFamily="34" charset="0"/>
            </a:rPr>
            <a:t>ARM's remarkable average is the result of its smart pivot towards the AI industry that is data centers, IOT, and gaming. </a:t>
          </a:r>
        </a:p>
        <a:p>
          <a:pPr marL="0" indent="0" algn="l"/>
          <a:r>
            <a:rPr lang="en-US" sz="1100" b="0" i="0" u="none" strike="noStrike">
              <a:solidFill>
                <a:srgbClr val="000000"/>
              </a:solidFill>
              <a:latin typeface="Aptos Narrow" panose="020B0004020202020204" pitchFamily="34" charset="0"/>
            </a:rPr>
            <a:t>Intel is in the lowest bracket due to its focus on cost cutting by reducing staff and R&amp;D Budget in Germany and Poland along with restrictions on R&amp;D budget and the shrinking market share due to other entrants like NIVIDIA, AMD and the losses in the foundries which are causing heavy damage.</a:t>
          </a:r>
        </a:p>
      </xdr:txBody>
    </xdr:sp>
    <xdr:clientData/>
  </xdr:twoCellAnchor>
  <xdr:twoCellAnchor>
    <xdr:from>
      <xdr:col>47</xdr:col>
      <xdr:colOff>189908</xdr:colOff>
      <xdr:row>27</xdr:row>
      <xdr:rowOff>173506</xdr:rowOff>
    </xdr:from>
    <xdr:to>
      <xdr:col>51</xdr:col>
      <xdr:colOff>19538</xdr:colOff>
      <xdr:row>43</xdr:row>
      <xdr:rowOff>136769</xdr:rowOff>
    </xdr:to>
    <xdr:sp macro="" textlink="">
      <xdr:nvSpPr>
        <xdr:cNvPr id="95" name="TextBox 7">
          <a:extLst>
            <a:ext uri="{FF2B5EF4-FFF2-40B4-BE49-F238E27FC236}">
              <a16:creationId xmlns:a16="http://schemas.microsoft.com/office/drawing/2014/main" id="{9A1036D5-5452-6F53-6C70-B20808B48B0F}"/>
            </a:ext>
            <a:ext uri="{147F2762-F138-4A5C-976F-8EAC2B608ADB}">
              <a16:predDERef xmlns:a16="http://schemas.microsoft.com/office/drawing/2014/main" pred="{8394EC2D-2DBC-19D9-D4E8-EFF925460196}"/>
            </a:ext>
          </a:extLst>
        </xdr:cNvPr>
        <xdr:cNvSpPr txBox="1"/>
      </xdr:nvSpPr>
      <xdr:spPr>
        <a:xfrm>
          <a:off x="39481754" y="5116737"/>
          <a:ext cx="2486861" cy="2815878"/>
        </a:xfrm>
        <a:prstGeom prst="rect">
          <a:avLst/>
        </a:prstGeom>
        <a:solidFill>
          <a:schemeClr val="bg2">
            <a:lumMod val="75000"/>
          </a:schemeClr>
        </a:solidFill>
        <a:ln w="25400">
          <a:solidFill>
            <a:schemeClr val="tx1"/>
          </a:solidFill>
        </a:ln>
      </xdr:spPr>
      <xdr:style>
        <a:lnRef idx="1">
          <a:schemeClr val="accent5"/>
        </a:lnRef>
        <a:fillRef idx="2">
          <a:schemeClr val="accent5"/>
        </a:fillRef>
        <a:effectRef idx="1">
          <a:schemeClr val="accent5"/>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FREE CASH FLOW TO TOTAL SALES</a:t>
          </a:r>
        </a:p>
        <a:p>
          <a:pPr marL="0" indent="0" algn="l"/>
          <a:r>
            <a:rPr lang="en-US" sz="1100" b="0" i="0" u="none" strike="noStrike">
              <a:solidFill>
                <a:srgbClr val="000000"/>
              </a:solidFill>
              <a:latin typeface="Aptos Narrow" panose="020B0004020202020204" pitchFamily="34" charset="0"/>
            </a:rPr>
            <a:t>This ratio helps us to find out which company has the potential to convert sales into cash</a:t>
          </a:r>
        </a:p>
        <a:p>
          <a:pPr marL="0" indent="0" algn="l"/>
          <a:r>
            <a:rPr lang="en-US" sz="1100" b="0" i="0" u="none" strike="noStrike">
              <a:solidFill>
                <a:srgbClr val="000000"/>
              </a:solidFill>
              <a:latin typeface="Aptos Narrow" panose="020B0004020202020204" pitchFamily="34" charset="0"/>
            </a:rPr>
            <a:t>From the graph we can see that NVIDIA is showing  negative  ratio which means that it has reached its maturity stage while for other comapnies like AMD, Qualcomm, ARM  has the most  potential to grow further by reinvesting their money in the R&amp;D , mergers and acquisitions to increase their sales. TSMC and Intel had least potential to grow.</a:t>
          </a:r>
        </a:p>
      </xdr:txBody>
    </xdr:sp>
    <xdr:clientData/>
  </xdr:twoCellAnchor>
  <xdr:twoCellAnchor>
    <xdr:from>
      <xdr:col>32</xdr:col>
      <xdr:colOff>254001</xdr:colOff>
      <xdr:row>28</xdr:row>
      <xdr:rowOff>9524</xdr:rowOff>
    </xdr:from>
    <xdr:to>
      <xdr:col>36</xdr:col>
      <xdr:colOff>622301</xdr:colOff>
      <xdr:row>39</xdr:row>
      <xdr:rowOff>165099</xdr:rowOff>
    </xdr:to>
    <xdr:sp macro="" textlink="">
      <xdr:nvSpPr>
        <xdr:cNvPr id="89" name="TextBox 10">
          <a:extLst>
            <a:ext uri="{FF2B5EF4-FFF2-40B4-BE49-F238E27FC236}">
              <a16:creationId xmlns:a16="http://schemas.microsoft.com/office/drawing/2014/main" id="{BBAF89B5-2091-43D1-48DD-7E24A033572F}"/>
            </a:ext>
            <a:ext uri="{147F2762-F138-4A5C-976F-8EAC2B608ADB}">
              <a16:predDERef xmlns:a16="http://schemas.microsoft.com/office/drawing/2014/main" pred="{9A1036D5-5452-6F53-6C70-B20808B48B0F}"/>
            </a:ext>
          </a:extLst>
        </xdr:cNvPr>
        <xdr:cNvSpPr txBox="1"/>
      </xdr:nvSpPr>
      <xdr:spPr>
        <a:xfrm>
          <a:off x="29565601" y="5191124"/>
          <a:ext cx="3009900" cy="2162175"/>
        </a:xfrm>
        <a:prstGeom prst="rect">
          <a:avLst/>
        </a:prstGeom>
        <a:solidFill>
          <a:schemeClr val="bg2">
            <a:lumMod val="90000"/>
          </a:schemeClr>
        </a:solidFill>
        <a:ln w="25400"/>
      </xdr:spPr>
      <xdr:style>
        <a:lnRef idx="1">
          <a:schemeClr val="dk1"/>
        </a:lnRef>
        <a:fillRef idx="2">
          <a:schemeClr val="dk1"/>
        </a:fillRef>
        <a:effectRef idx="1">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ea typeface="+mn-ea"/>
              <a:cs typeface="+mn-cs"/>
            </a:rPr>
            <a:t>Cost Of Sales to Total Revenue </a:t>
          </a:r>
        </a:p>
        <a:p>
          <a:pPr marL="0" indent="0" algn="l"/>
          <a:r>
            <a:rPr lang="en-US" sz="1100" b="0" i="0" u="none" strike="noStrike">
              <a:solidFill>
                <a:srgbClr val="000000"/>
              </a:solidFill>
              <a:latin typeface="Aptos Narrow" panose="020B0004020202020204" pitchFamily="34" charset="0"/>
              <a:ea typeface="+mn-ea"/>
              <a:cs typeface="+mn-cs"/>
            </a:rPr>
            <a:t>Lower Ratio is considered to be better as it shows company's profitability and operational efficiencies</a:t>
          </a:r>
        </a:p>
        <a:p>
          <a:pPr marL="0" indent="0" algn="l"/>
          <a:r>
            <a:rPr lang="en-US" sz="1100" b="0" i="0" u="none" strike="noStrike">
              <a:solidFill>
                <a:srgbClr val="000000"/>
              </a:solidFill>
              <a:latin typeface="Aptos Narrow" panose="020B0004020202020204" pitchFamily="34" charset="0"/>
              <a:ea typeface="+mn-ea"/>
              <a:cs typeface="+mn-cs"/>
            </a:rPr>
            <a:t>ARM has negative ratio due to its IP-based model and zero manufacturing cost </a:t>
          </a:r>
        </a:p>
        <a:p>
          <a:pPr marL="0" indent="0" algn="l"/>
          <a:r>
            <a:rPr lang="en-US" sz="1100" b="0" i="0" u="none" strike="noStrike">
              <a:solidFill>
                <a:srgbClr val="000000"/>
              </a:solidFill>
              <a:latin typeface="Aptos Narrow" panose="020B0004020202020204" pitchFamily="34" charset="0"/>
              <a:ea typeface="+mn-ea"/>
              <a:cs typeface="+mn-cs"/>
            </a:rPr>
            <a:t>Nvidia : Controlled due to pricing power </a:t>
          </a:r>
        </a:p>
        <a:p>
          <a:pPr marL="0" indent="0" algn="l"/>
          <a:r>
            <a:rPr lang="en-US" sz="1100" b="0" i="0" u="none" strike="noStrike">
              <a:solidFill>
                <a:srgbClr val="000000"/>
              </a:solidFill>
              <a:latin typeface="Aptos Narrow" panose="020B0004020202020204" pitchFamily="34" charset="0"/>
              <a:ea typeface="+mn-ea"/>
              <a:cs typeface="+mn-cs"/>
            </a:rPr>
            <a:t>Qualcomm : balanced as mix of licensing and chip sales</a:t>
          </a:r>
        </a:p>
        <a:p>
          <a:pPr marL="0" indent="0" algn="l"/>
          <a:r>
            <a:rPr lang="en-US" sz="1100" b="0" i="0" u="none" strike="noStrike">
              <a:solidFill>
                <a:srgbClr val="000000"/>
              </a:solidFill>
              <a:latin typeface="Aptos Narrow" panose="020B0004020202020204" pitchFamily="34" charset="0"/>
              <a:ea typeface="+mn-ea"/>
              <a:cs typeface="+mn-cs"/>
            </a:rPr>
            <a:t>AMD : Cost increase due to export restrictions</a:t>
          </a:r>
        </a:p>
        <a:p>
          <a:pPr marL="0" indent="0" algn="l"/>
          <a:r>
            <a:rPr lang="en-US" sz="1100" b="0" i="0" u="none" strike="noStrike">
              <a:solidFill>
                <a:srgbClr val="000000"/>
              </a:solidFill>
              <a:latin typeface="Aptos Narrow" panose="020B0004020202020204" pitchFamily="34" charset="0"/>
              <a:ea typeface="+mn-ea"/>
              <a:cs typeface="+mn-cs"/>
            </a:rPr>
            <a:t>Intel : High due to inventory impairment</a:t>
          </a:r>
        </a:p>
      </xdr:txBody>
    </xdr:sp>
    <xdr:clientData/>
  </xdr:twoCellAnchor>
  <xdr:twoCellAnchor>
    <xdr:from>
      <xdr:col>47</xdr:col>
      <xdr:colOff>317500</xdr:colOff>
      <xdr:row>50</xdr:row>
      <xdr:rowOff>74246</xdr:rowOff>
    </xdr:from>
    <xdr:to>
      <xdr:col>51</xdr:col>
      <xdr:colOff>0</xdr:colOff>
      <xdr:row>69</xdr:row>
      <xdr:rowOff>39076</xdr:rowOff>
    </xdr:to>
    <xdr:sp macro="" textlink="">
      <xdr:nvSpPr>
        <xdr:cNvPr id="106" name="TextBox 5">
          <a:extLst>
            <a:ext uri="{FF2B5EF4-FFF2-40B4-BE49-F238E27FC236}">
              <a16:creationId xmlns:a16="http://schemas.microsoft.com/office/drawing/2014/main" id="{9AB4E92F-8181-E95C-7F87-49B1F89D623A}"/>
            </a:ext>
            <a:ext uri="{147F2762-F138-4A5C-976F-8EAC2B608ADB}">
              <a16:predDERef xmlns:a16="http://schemas.microsoft.com/office/drawing/2014/main" pred="{BBAF89B5-2091-43D1-48DD-7E24A033572F}"/>
            </a:ext>
          </a:extLst>
        </xdr:cNvPr>
        <xdr:cNvSpPr txBox="1"/>
      </xdr:nvSpPr>
      <xdr:spPr>
        <a:xfrm>
          <a:off x="39609346" y="9120554"/>
          <a:ext cx="2339731" cy="3344984"/>
        </a:xfrm>
        <a:prstGeom prst="rect">
          <a:avLst/>
        </a:prstGeom>
        <a:solidFill>
          <a:schemeClr val="accent5">
            <a:lumMod val="40000"/>
            <a:lumOff val="60000"/>
          </a:schemeClr>
        </a:solidFill>
        <a:ln w="25400" cmpd="sng">
          <a:solidFill>
            <a:schemeClr val="tx1"/>
          </a:solidFill>
        </a:ln>
      </xdr:spPr>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YOY GROSS PROFIT MARGIN </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Average five year gross profit margin of Intel is significantly low - due to loss in foundry business, competitive pricing</a:t>
          </a:r>
        </a:p>
        <a:p>
          <a:pPr marL="0" indent="0" algn="l"/>
          <a:r>
            <a:rPr lang="en-US" sz="1100" b="0" i="0" u="none" strike="noStrike">
              <a:solidFill>
                <a:srgbClr val="000000"/>
              </a:solidFill>
              <a:latin typeface="Aptos Narrow" panose="020B0004020202020204" pitchFamily="34" charset="0"/>
            </a:rPr>
            <a:t>In FY 2024 NVIDIA - profitability increase - contributed by premium pricing , GPU demand </a:t>
          </a:r>
        </a:p>
        <a:p>
          <a:pPr marL="0" indent="0" algn="l"/>
          <a:r>
            <a:rPr lang="en-US" sz="1100" b="0" i="0" u="none" strike="noStrike">
              <a:solidFill>
                <a:srgbClr val="000000"/>
              </a:solidFill>
              <a:latin typeface="Aptos Narrow" panose="020B0004020202020204" pitchFamily="34" charset="0"/>
            </a:rPr>
            <a:t>TSMC ,Qualcomm and AMD are maintaining their gross profit margin around 55%, 57% and 46%</a:t>
          </a:r>
        </a:p>
        <a:p>
          <a:pPr marL="0" indent="0" algn="l"/>
          <a:r>
            <a:rPr lang="en-US" sz="1100" b="0" i="0" u="none" strike="noStrike">
              <a:solidFill>
                <a:srgbClr val="000000"/>
              </a:solidFill>
              <a:latin typeface="Aptos Narrow" panose="020B0004020202020204" pitchFamily="34" charset="0"/>
            </a:rPr>
            <a:t>ARM </a:t>
          </a:r>
          <a:r>
            <a:rPr lang="en-US" sz="1100">
              <a:latin typeface="+mn-lt"/>
              <a:ea typeface="+mn-lt"/>
              <a:cs typeface="+mn-lt"/>
            </a:rPr>
            <a:t>remains largely consistent </a:t>
          </a:r>
          <a:r>
            <a:rPr lang="en-US" sz="1100" b="0" i="0" u="none" strike="noStrike">
              <a:solidFill>
                <a:srgbClr val="000000"/>
              </a:solidFill>
              <a:latin typeface="Aptos Narrow" panose="020B0004020202020204" pitchFamily="34" charset="0"/>
            </a:rPr>
            <a:t>but it is maintaing the gross profit margin above 90% which is quite high as compared to other companies  showing its high profitability due to IP based model</a:t>
          </a:r>
        </a:p>
      </xdr:txBody>
    </xdr:sp>
    <xdr:clientData/>
  </xdr:twoCellAnchor>
  <xdr:twoCellAnchor>
    <xdr:from>
      <xdr:col>18</xdr:col>
      <xdr:colOff>161925</xdr:colOff>
      <xdr:row>51</xdr:row>
      <xdr:rowOff>19050</xdr:rowOff>
    </xdr:from>
    <xdr:to>
      <xdr:col>21</xdr:col>
      <xdr:colOff>561975</xdr:colOff>
      <xdr:row>70</xdr:row>
      <xdr:rowOff>133350</xdr:rowOff>
    </xdr:to>
    <xdr:sp macro="" textlink="">
      <xdr:nvSpPr>
        <xdr:cNvPr id="4" name="TextBox 112">
          <a:extLst>
            <a:ext uri="{FF2B5EF4-FFF2-40B4-BE49-F238E27FC236}">
              <a16:creationId xmlns:a16="http://schemas.microsoft.com/office/drawing/2014/main" id="{5A5A0EAC-25A3-DF03-37B0-5EF419C1ACFC}"/>
            </a:ext>
            <a:ext uri="{147F2762-F138-4A5C-976F-8EAC2B608ADB}">
              <a16:predDERef xmlns:a16="http://schemas.microsoft.com/office/drawing/2014/main" pred="{9AB4E92F-8181-E95C-7F87-49B1F89D623A}"/>
            </a:ext>
          </a:extLst>
        </xdr:cNvPr>
        <xdr:cNvSpPr txBox="1"/>
      </xdr:nvSpPr>
      <xdr:spPr>
        <a:xfrm>
          <a:off x="17506950" y="9144000"/>
          <a:ext cx="2314575" cy="3429000"/>
        </a:xfrm>
        <a:prstGeom prst="rect">
          <a:avLst/>
        </a:prstGeom>
        <a:solidFill>
          <a:schemeClr val="accent5">
            <a:lumMod val="40000"/>
            <a:lumOff val="60000"/>
          </a:schemeClr>
        </a:solidFill>
        <a:ln w="25400"/>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High Ratio of R&amp;D to opex signifies the volatile nature of industry </a:t>
          </a:r>
        </a:p>
        <a:p>
          <a:pPr marL="0" indent="0" algn="l"/>
          <a:r>
            <a:rPr lang="en-US" sz="1100" b="0" i="0" u="none" strike="noStrike">
              <a:solidFill>
                <a:srgbClr val="000000"/>
              </a:solidFill>
              <a:latin typeface="Aptos Narrow" panose="020B0004020202020204" pitchFamily="34" charset="0"/>
            </a:rPr>
            <a:t>NVIDIA: Increasing ratio - Next Gen GPU and software </a:t>
          </a:r>
        </a:p>
        <a:p>
          <a:pPr marL="0" indent="0" algn="l"/>
          <a:r>
            <a:rPr lang="en-US" sz="1100" b="0" i="0" u="none" strike="noStrike">
              <a:solidFill>
                <a:srgbClr val="000000"/>
              </a:solidFill>
              <a:latin typeface="Aptos Narrow" panose="020B0004020202020204" pitchFamily="34" charset="0"/>
            </a:rPr>
            <a:t>Qualcomm : Remains consistent - Balance  of merger and acquisitions  and R&amp;D</a:t>
          </a:r>
        </a:p>
        <a:p>
          <a:pPr marL="0" indent="0" algn="l"/>
          <a:r>
            <a:rPr lang="en-US" sz="1100" b="0" i="0" u="none" strike="noStrike">
              <a:solidFill>
                <a:srgbClr val="000000"/>
              </a:solidFill>
              <a:latin typeface="Aptos Narrow" panose="020B0004020202020204" pitchFamily="34" charset="0"/>
            </a:rPr>
            <a:t>ARM : Increase tremendously - New IP model and generation like ARMV9,Neuroverse</a:t>
          </a:r>
        </a:p>
        <a:p>
          <a:pPr marL="0" indent="0" algn="l"/>
          <a:r>
            <a:rPr lang="en-US" sz="1100" b="0" i="0" u="none" strike="noStrike">
              <a:solidFill>
                <a:srgbClr val="000000"/>
              </a:solidFill>
              <a:latin typeface="Aptos Narrow" panose="020B0004020202020204" pitchFamily="34" charset="0"/>
            </a:rPr>
            <a:t>TSMC: Consistent - Balance of foundary and r&amp;d </a:t>
          </a:r>
        </a:p>
        <a:p>
          <a:pPr marL="0" indent="0" algn="l"/>
          <a:r>
            <a:rPr lang="en-US" sz="1100" b="0" i="0" u="none" strike="noStrike">
              <a:solidFill>
                <a:srgbClr val="000000"/>
              </a:solidFill>
              <a:latin typeface="Aptos Narrow" panose="020B0004020202020204" pitchFamily="34" charset="0"/>
            </a:rPr>
            <a:t>Intel: Ratio increased but the share in R&amp;d remains constant and operating expenses change due to costs, restructuring,losses.</a:t>
          </a:r>
        </a:p>
        <a:p>
          <a:pPr marL="0" indent="0" algn="l"/>
          <a:r>
            <a:rPr lang="en-US" sz="1100" b="0" i="0" u="none" strike="noStrike">
              <a:solidFill>
                <a:srgbClr val="000000"/>
              </a:solidFill>
              <a:latin typeface="Aptos Narrow" panose="020B0004020202020204" pitchFamily="34" charset="0"/>
            </a:rPr>
            <a:t>AMD:  Decrease due to increase in OPEX due to acquisition and then increase due to r&amp;d investment in AI sector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15</xdr:row>
      <xdr:rowOff>123825</xdr:rowOff>
    </xdr:from>
    <xdr:to>
      <xdr:col>15</xdr:col>
      <xdr:colOff>13511</xdr:colOff>
      <xdr:row>26</xdr:row>
      <xdr:rowOff>175639</xdr:rowOff>
    </xdr:to>
    <xdr:graphicFrame macro="">
      <xdr:nvGraphicFramePr>
        <xdr:cNvPr id="69" name="Chart 15">
          <a:extLst>
            <a:ext uri="{FF2B5EF4-FFF2-40B4-BE49-F238E27FC236}">
              <a16:creationId xmlns:a16="http://schemas.microsoft.com/office/drawing/2014/main" id="{C5D2F5BF-1D09-2C09-912F-9DCEF5285D97}"/>
            </a:ext>
            <a:ext uri="{147F2762-F138-4A5C-976F-8EAC2B608ADB}">
              <a16:predDERef xmlns:a16="http://schemas.microsoft.com/office/drawing/2014/main" pred="{83684FB9-89AE-9CFD-F4E7-42F41B51E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12247</xdr:colOff>
      <xdr:row>28</xdr:row>
      <xdr:rowOff>8164</xdr:rowOff>
    </xdr:from>
    <xdr:to>
      <xdr:col>14</xdr:col>
      <xdr:colOff>327933</xdr:colOff>
      <xdr:row>40</xdr:row>
      <xdr:rowOff>102053</xdr:rowOff>
    </xdr:to>
    <xdr:graphicFrame macro="">
      <xdr:nvGraphicFramePr>
        <xdr:cNvPr id="67" name="Chart 17">
          <a:extLst>
            <a:ext uri="{FF2B5EF4-FFF2-40B4-BE49-F238E27FC236}">
              <a16:creationId xmlns:a16="http://schemas.microsoft.com/office/drawing/2014/main" id="{2E69AC45-8E6B-8B0E-E5CC-E64D52F6AD8A}"/>
            </a:ext>
            <a:ext uri="{147F2762-F138-4A5C-976F-8EAC2B608ADB}">
              <a16:predDERef xmlns:a16="http://schemas.microsoft.com/office/drawing/2014/main" pred="{C5D2F5BF-1D09-2C09-912F-9DCEF5285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685124</xdr:colOff>
      <xdr:row>1</xdr:row>
      <xdr:rowOff>180975</xdr:rowOff>
    </xdr:from>
    <xdr:to>
      <xdr:col>14</xdr:col>
      <xdr:colOff>689043</xdr:colOff>
      <xdr:row>14</xdr:row>
      <xdr:rowOff>54042</xdr:rowOff>
    </xdr:to>
    <xdr:graphicFrame macro="">
      <xdr:nvGraphicFramePr>
        <xdr:cNvPr id="68" name="Chart 18">
          <a:extLst>
            <a:ext uri="{FF2B5EF4-FFF2-40B4-BE49-F238E27FC236}">
              <a16:creationId xmlns:a16="http://schemas.microsoft.com/office/drawing/2014/main" id="{45B6F547-8473-9338-EBFE-8F7A290DA740}"/>
            </a:ext>
            <a:ext uri="{147F2762-F138-4A5C-976F-8EAC2B608ADB}">
              <a16:predDERef xmlns:a16="http://schemas.microsoft.com/office/drawing/2014/main" pred="{2E69AC45-8E6B-8B0E-E5CC-E64D52F6A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44903</xdr:colOff>
      <xdr:row>50</xdr:row>
      <xdr:rowOff>114686</xdr:rowOff>
    </xdr:from>
    <xdr:to>
      <xdr:col>42</xdr:col>
      <xdr:colOff>285471</xdr:colOff>
      <xdr:row>70</xdr:row>
      <xdr:rowOff>115467</xdr:rowOff>
    </xdr:to>
    <xdr:graphicFrame macro="">
      <xdr:nvGraphicFramePr>
        <xdr:cNvPr id="34" name="Chart 19">
          <a:extLst>
            <a:ext uri="{FF2B5EF4-FFF2-40B4-BE49-F238E27FC236}">
              <a16:creationId xmlns:a16="http://schemas.microsoft.com/office/drawing/2014/main" id="{D64D65DB-6FC7-3853-3428-F0F6009BF004}"/>
            </a:ext>
            <a:ext uri="{147F2762-F138-4A5C-976F-8EAC2B608ADB}">
              <a16:predDERef xmlns:a16="http://schemas.microsoft.com/office/drawing/2014/main" pred="{45B6F547-8473-9338-EBFE-8F7A290DA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214137</xdr:colOff>
      <xdr:row>54</xdr:row>
      <xdr:rowOff>127459</xdr:rowOff>
    </xdr:from>
    <xdr:to>
      <xdr:col>23</xdr:col>
      <xdr:colOff>206829</xdr:colOff>
      <xdr:row>68</xdr:row>
      <xdr:rowOff>111481</xdr:rowOff>
    </xdr:to>
    <xdr:graphicFrame macro="">
      <xdr:nvGraphicFramePr>
        <xdr:cNvPr id="70" name="Chart 20">
          <a:extLst>
            <a:ext uri="{FF2B5EF4-FFF2-40B4-BE49-F238E27FC236}">
              <a16:creationId xmlns:a16="http://schemas.microsoft.com/office/drawing/2014/main" id="{7DD18726-225A-C80A-A400-3A144A315E94}"/>
            </a:ext>
            <a:ext uri="{147F2762-F138-4A5C-976F-8EAC2B608ADB}">
              <a16:predDERef xmlns:a16="http://schemas.microsoft.com/office/drawing/2014/main" pred="{D64D65DB-6FC7-3853-3428-F0F6009BF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8647</xdr:colOff>
      <xdr:row>43</xdr:row>
      <xdr:rowOff>2229</xdr:rowOff>
    </xdr:from>
    <xdr:to>
      <xdr:col>15</xdr:col>
      <xdr:colOff>0</xdr:colOff>
      <xdr:row>57</xdr:row>
      <xdr:rowOff>13511</xdr:rowOff>
    </xdr:to>
    <xdr:graphicFrame macro="">
      <xdr:nvGraphicFramePr>
        <xdr:cNvPr id="71" name="Chart 21">
          <a:extLst>
            <a:ext uri="{FF2B5EF4-FFF2-40B4-BE49-F238E27FC236}">
              <a16:creationId xmlns:a16="http://schemas.microsoft.com/office/drawing/2014/main" id="{BF4C648F-EF21-3E3F-5195-A2B6FF04A7AA}"/>
            </a:ext>
            <a:ext uri="{147F2762-F138-4A5C-976F-8EAC2B608ADB}">
              <a16:predDERef xmlns:a16="http://schemas.microsoft.com/office/drawing/2014/main" pred="{7DD18726-225A-C80A-A400-3A144A315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15173</xdr:colOff>
      <xdr:row>3</xdr:row>
      <xdr:rowOff>52383</xdr:rowOff>
    </xdr:from>
    <xdr:to>
      <xdr:col>41</xdr:col>
      <xdr:colOff>18483</xdr:colOff>
      <xdr:row>18</xdr:row>
      <xdr:rowOff>157650</xdr:rowOff>
    </xdr:to>
    <xdr:graphicFrame macro="">
      <xdr:nvGraphicFramePr>
        <xdr:cNvPr id="72" name="Chart 23">
          <a:extLst>
            <a:ext uri="{FF2B5EF4-FFF2-40B4-BE49-F238E27FC236}">
              <a16:creationId xmlns:a16="http://schemas.microsoft.com/office/drawing/2014/main" id="{9CAD0A19-F9B7-0105-56CE-545E9C0E1C4A}"/>
            </a:ext>
            <a:ext uri="{147F2762-F138-4A5C-976F-8EAC2B608ADB}">
              <a16:predDERef xmlns:a16="http://schemas.microsoft.com/office/drawing/2014/main" pred="{BF4C648F-EF21-3E3F-5195-A2B6FF04A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290194</xdr:colOff>
      <xdr:row>3</xdr:row>
      <xdr:rowOff>32658</xdr:rowOff>
    </xdr:from>
    <xdr:to>
      <xdr:col>32</xdr:col>
      <xdr:colOff>195943</xdr:colOff>
      <xdr:row>52</xdr:row>
      <xdr:rowOff>185057</xdr:rowOff>
    </xdr:to>
    <xdr:sp macro="" textlink="">
      <xdr:nvSpPr>
        <xdr:cNvPr id="2" name="TextBox 1">
          <a:extLst>
            <a:ext uri="{FF2B5EF4-FFF2-40B4-BE49-F238E27FC236}">
              <a16:creationId xmlns:a16="http://schemas.microsoft.com/office/drawing/2014/main" id="{5D072D72-51E9-EBE6-9DD3-F88A70BA4747}"/>
            </a:ext>
            <a:ext uri="{147F2762-F138-4A5C-976F-8EAC2B608ADB}">
              <a16:predDERef xmlns:a16="http://schemas.microsoft.com/office/drawing/2014/main" pred="{547C01A7-5785-D4C8-9C9B-DF5980C317A2}"/>
            </a:ext>
          </a:extLst>
        </xdr:cNvPr>
        <xdr:cNvSpPr txBox="1"/>
      </xdr:nvSpPr>
      <xdr:spPr>
        <a:xfrm>
          <a:off x="13853794" y="968829"/>
          <a:ext cx="10454006" cy="10178142"/>
        </a:xfrm>
        <a:prstGeom prst="rect">
          <a:avLst/>
        </a:prstGeom>
        <a:solidFill>
          <a:schemeClr val="lt1"/>
        </a:solidFill>
        <a:ln w="25400" cmpd="sng">
          <a:solidFill>
            <a:schemeClr val="accent3"/>
          </a:solidFill>
        </a:ln>
      </xdr:spPr>
      <xdr:txBody>
        <a:bodyPr spcFirstLastPara="0" vertOverflow="clip" horzOverflow="clip" wrap="square" lIns="91440" tIns="45720" rIns="91440" bIns="45720" rtlCol="0" anchor="t">
          <a:noAutofit/>
        </a:bodyPr>
        <a:lstStyle/>
        <a:p>
          <a:r>
            <a:rPr lang="en-US" sz="1200" b="1">
              <a:effectLst/>
              <a:latin typeface="+mn-lt"/>
              <a:ea typeface="+mn-ea"/>
              <a:cs typeface="+mn-cs"/>
            </a:rPr>
            <a:t> Revenue growth and drivers:</a:t>
          </a:r>
          <a:endParaRPr lang="en-IN" sz="1200" b="1">
            <a:effectLst/>
            <a:latin typeface="+mn-lt"/>
            <a:ea typeface="+mn-ea"/>
            <a:cs typeface="+mn-cs"/>
          </a:endParaRPr>
        </a:p>
        <a:p>
          <a:r>
            <a:rPr lang="en-US" sz="1100">
              <a:effectLst/>
              <a:latin typeface="+mn-lt"/>
              <a:ea typeface="+mn-ea"/>
              <a:cs typeface="+mn-cs"/>
            </a:rPr>
            <a:t>The Total Revenue graph, which presents a striking image of a business defying convention, opens the narrative. The trend line displays a healthy, steady increase from FY2020 to FY2022, fuelled by the boom in gaming and cryptocurrency during the pandemic. But in FY2023, the graph clearly flattens, indicating the start of the "Crypto Winter" and a wider correction in the PC market. The line then turns vertical in FY2024, forming a traditional "hockey stick" shape. In just one year, revenue soars from about $27 billion to almost $61 billion. This increase is more than just growth; it signifies a fundamental change in the company's identity and the point at which the boom in generative AI (caused by ChatGPT) led to an unquenchable demand for Nvidia's H100 chips.</a:t>
          </a:r>
        </a:p>
        <a:p>
          <a:endParaRPr lang="en-US" sz="1100" b="1">
            <a:effectLst/>
            <a:latin typeface="+mn-lt"/>
            <a:ea typeface="+mn-ea"/>
            <a:cs typeface="+mn-cs"/>
          </a:endParaRPr>
        </a:p>
        <a:p>
          <a:r>
            <a:rPr lang="en-US" sz="1100" b="1">
              <a:effectLst/>
              <a:latin typeface="+mn-lt"/>
              <a:ea typeface="+mn-ea"/>
              <a:cs typeface="+mn-cs"/>
            </a:rPr>
            <a:t>The Efficiency Gap in Revenue Costs </a:t>
          </a:r>
        </a:p>
        <a:p>
          <a:r>
            <a:rPr lang="en-US" sz="1100">
              <a:effectLst/>
              <a:latin typeface="+mn-lt"/>
              <a:ea typeface="+mn-ea"/>
              <a:cs typeface="+mn-cs"/>
            </a:rPr>
            <a:t>The Cost of Revenue graph indicates a consistent increase from approximately $4.2 billion in FY2020 to approximately $16.6 billion in FY2024. Although expenses went up, the difference between this line and the revenue line is what matters most. Revenue tripled (up about 126%) in FY2024, but the cost of revenue only went up about 43%.Reason: Pricing power is the cause of this divergence. Nvidia increased the chip's selling price considerably more than the cost of manufacturing an H100 chip (paying TSMC for wafers and packaging). They created the "efficiency gap" that drove the gross margin explosion by passing on all increases in manufacturing costs to customers along with a hefty premium.</a:t>
          </a:r>
        </a:p>
        <a:p>
          <a:endParaRPr lang="en-US" sz="1100">
            <a:effectLst/>
            <a:latin typeface="+mn-lt"/>
            <a:ea typeface="+mn-ea"/>
            <a:cs typeface="+mn-cs"/>
          </a:endParaRPr>
        </a:p>
        <a:p>
          <a:r>
            <a:rPr lang="en-IN" b="1"/>
            <a:t>Data Center Revenue – The New Engine</a:t>
          </a:r>
          <a:r>
            <a:rPr lang="en-IN"/>
            <a:t> </a:t>
          </a:r>
        </a:p>
        <a:p>
          <a:r>
            <a:rPr lang="en-IN"/>
            <a:t>Peeling back the layers of that revenue spike, the Data Center graph reveals the true engine of this transformation. This segment was a consistent climber for many years, but it essentially detached itself from gravity in FY2024. With revenue soaring from about $15 billion to over $47.5 billion, the graph depicts an exponential surge. The "Hyperscalers" (Microsoft, Google, Meta) aggressively reallocated their budgets to construct AI factories, resulting in a massive shift in capital expenditures. This graph confirms that Nvidia is no longer just a chip vendor but the infrastructure backbone of the AI age.</a:t>
          </a:r>
        </a:p>
        <a:p>
          <a:endParaRPr lang="en-IN" sz="1100">
            <a:effectLst/>
            <a:latin typeface="+mn-lt"/>
            <a:ea typeface="+mn-ea"/>
            <a:cs typeface="+mn-cs"/>
          </a:endParaRPr>
        </a:p>
        <a:p>
          <a:r>
            <a:rPr lang="en-US" sz="1100" b="1">
              <a:effectLst/>
              <a:latin typeface="+mn-lt"/>
              <a:ea typeface="+mn-ea"/>
              <a:cs typeface="+mn-cs"/>
            </a:rPr>
            <a:t>The Cyclical Rollercoaster of Gaming Revenue </a:t>
          </a:r>
        </a:p>
        <a:p>
          <a:r>
            <a:rPr lang="en-US" sz="1100">
              <a:effectLst/>
              <a:latin typeface="+mn-lt"/>
              <a:ea typeface="+mn-ea"/>
              <a:cs typeface="+mn-cs"/>
            </a:rPr>
            <a:t>The Gaming Revenue graph, on the other hand, depicts volatility and correction. Due to the "stay-at-home" economy and cryptocurrency miners purchasing every GPU they could find, it peaks sharply in FY2022. The ensuing sharp decline in FY2023 illustrates the agonising "hangover"—the Ethereum Merge put an end to GPU mining, and consumer wallets were hit by inflation, resulting in an abundance of surplus inventory. The graph's trajectory indicates that gaming is now a supporting pillar rather than the main driver, even though it shows a slight recovery by FY2024 as inventory levels returned to normal.</a:t>
          </a:r>
          <a:br>
            <a:rPr lang="en-US" sz="1100">
              <a:effectLst/>
              <a:latin typeface="+mn-lt"/>
              <a:ea typeface="+mn-ea"/>
              <a:cs typeface="+mn-cs"/>
            </a:rPr>
          </a:br>
          <a:endParaRPr lang="en-US" sz="1100">
            <a:effectLst/>
            <a:latin typeface="+mn-lt"/>
            <a:ea typeface="+mn-ea"/>
            <a:cs typeface="+mn-cs"/>
          </a:endParaRPr>
        </a:p>
        <a:p>
          <a:r>
            <a:rPr lang="en-US" sz="1100" b="1">
              <a:effectLst/>
              <a:latin typeface="+mn-lt"/>
              <a:ea typeface="+mn-ea"/>
              <a:cs typeface="+mn-cs"/>
            </a:rPr>
            <a:t>Capturing the Value of Gross Profit</a:t>
          </a:r>
        </a:p>
        <a:p>
          <a:r>
            <a:rPr lang="en-US" sz="1100">
              <a:effectLst/>
              <a:latin typeface="+mn-lt"/>
              <a:ea typeface="+mn-ea"/>
              <a:cs typeface="+mn-cs"/>
            </a:rPr>
            <a:t> The Gross Profit graph illustrates enormous pricing power by tracking the revenue trajectory but accelerating even more quickly. Due to the expense of writing off unsold gaming inventory, this decline in FY2023 was greater than revenue. However, the spike in FY2024 is more pronounced than the actual revenue graph. This discrepancy shows that Nvidia sold chips at much higher prices rather than just more. Their monopoly-like position in the AI hardware market is demonstrated by the fact that they were able to command a premium due to the scarcity of AI chips, earning nearly $44.3 billion in gross profit.</a:t>
          </a:r>
        </a:p>
        <a:p>
          <a:endParaRPr lang="en-US" sz="1100">
            <a:effectLst/>
            <a:latin typeface="+mn-lt"/>
            <a:ea typeface="+mn-ea"/>
            <a:cs typeface="+mn-cs"/>
          </a:endParaRPr>
        </a:p>
        <a:p>
          <a:r>
            <a:rPr lang="en-US" sz="1100" b="1">
              <a:effectLst/>
              <a:latin typeface="+mn-lt"/>
              <a:ea typeface="+mn-ea"/>
              <a:cs typeface="+mn-cs"/>
            </a:rPr>
            <a:t>The Complete Evolution of Net Profit Margin %</a:t>
          </a:r>
        </a:p>
        <a:p>
          <a:r>
            <a:rPr lang="en-US" sz="1100">
              <a:effectLst/>
              <a:latin typeface="+mn-lt"/>
              <a:ea typeface="+mn-ea"/>
              <a:cs typeface="+mn-cs"/>
            </a:rPr>
            <a:t>Lastly, the transformation is summed up in the Net Profit Margin graph. It rises to an industry-leading 48.9% in FY2024 after hovering in the mid-20s and falling to about 16% in FY2023. This pattern represents Nvidia's ultimate transition from a hardware supplier to a platform provider. The increase demonstrates that they have effectively separated their profitability from the low-margin commodity cycle, reaching a level of efficiency that is unmatched in the semiconductor industry.</a:t>
          </a:r>
        </a:p>
        <a:p>
          <a:endParaRPr lang="en-US" sz="1100">
            <a:effectLst/>
            <a:latin typeface="+mn-lt"/>
            <a:ea typeface="+mn-ea"/>
            <a:cs typeface="+mn-cs"/>
          </a:endParaRPr>
        </a:p>
        <a:p>
          <a:r>
            <a:rPr lang="en-US" sz="1100" b="1">
              <a:effectLst/>
              <a:latin typeface="+mn-lt"/>
              <a:ea typeface="+mn-ea"/>
              <a:cs typeface="+mn-cs"/>
            </a:rPr>
            <a:t>The Leverage Event in Operating Income (EBIT) </a:t>
          </a:r>
        </a:p>
        <a:p>
          <a:r>
            <a:rPr lang="en-US" sz="1100">
              <a:effectLst/>
              <a:latin typeface="+mn-lt"/>
              <a:ea typeface="+mn-ea"/>
              <a:cs typeface="+mn-cs"/>
            </a:rPr>
            <a:t>The Operating Income graph offers the most lucid illustration of "Operating Leverage." Due to fixed costs and decreased sales, this metric hardly changed in FY2023. But FY2024 shows a huge explosion, rising by more than 600% to about $33 billion. This graph illustrates the elegance of Nvidia's fabless model: the great majority of the additional funds went straight into operating income since their fixed costs (such as rent and salaries) stayed largely constant while revenue tripled.</a:t>
          </a:r>
        </a:p>
        <a:p>
          <a:endParaRPr lang="en-US" sz="1100">
            <a:effectLst/>
            <a:latin typeface="+mn-lt"/>
            <a:ea typeface="+mn-ea"/>
            <a:cs typeface="+mn-cs"/>
          </a:endParaRPr>
        </a:p>
        <a:p>
          <a:r>
            <a:rPr lang="en-US" sz="1100" b="1">
              <a:effectLst/>
              <a:latin typeface="+mn-lt"/>
              <a:ea typeface="+mn-ea"/>
              <a:cs typeface="+mn-cs"/>
            </a:rPr>
            <a:t>The Flatline's Total Operating Expenses (OpEx)</a:t>
          </a:r>
        </a:p>
        <a:p>
          <a:r>
            <a:rPr lang="en-US" sz="1100" b="1">
              <a:effectLst/>
              <a:latin typeface="+mn-lt"/>
              <a:ea typeface="+mn-ea"/>
              <a:cs typeface="+mn-cs"/>
            </a:rPr>
            <a:t> </a:t>
          </a:r>
          <a:r>
            <a:rPr lang="en-US" sz="1100">
              <a:effectLst/>
              <a:latin typeface="+mn-lt"/>
              <a:ea typeface="+mn-ea"/>
              <a:cs typeface="+mn-cs"/>
            </a:rPr>
            <a:t>Perhaps the most impressive graph for an investor is this one. Total OpEx was approximately $11.1 billion in FY2023. OpEx barely increased to ~$11.3 billion in FY2024, despite the company's tripling in size.This illustrates excessive operational leverage. Nvidia is an asset-light, scalable software and design firm. To sell $47 billion worth of AI chips, they didn't need to triple their workforce, construct new headquarters, or increase their marketing spending. Nearly every dollar of new revenue avoided these costs and went directly to profit because the chips essentially sold themselves.</a:t>
          </a:r>
        </a:p>
        <a:p>
          <a:endParaRPr lang="en-IN" sz="1100">
            <a:effectLst/>
            <a:latin typeface="+mn-lt"/>
            <a:ea typeface="+mn-ea"/>
            <a:cs typeface="+mn-cs"/>
          </a:endParaRPr>
        </a:p>
        <a:p>
          <a:r>
            <a:rPr lang="en-US" sz="1100" b="1">
              <a:effectLst/>
              <a:latin typeface="+mn-lt"/>
              <a:ea typeface="+mn-ea"/>
              <a:cs typeface="+mn-cs"/>
            </a:rPr>
            <a:t>Free Cash Flow</a:t>
          </a:r>
        </a:p>
        <a:p>
          <a:r>
            <a:rPr lang="en-US" sz="1100">
              <a:effectLst/>
              <a:latin typeface="+mn-lt"/>
              <a:ea typeface="+mn-ea"/>
              <a:cs typeface="+mn-cs"/>
            </a:rPr>
            <a:t>The Free Cash Flow graph shows a sharp increase in liquidity. Lower profits and cash locked up in inventory were the main causes of FY2023's decline into negative territory. Customer pre-payments—businesses were so desperate for chips that they paid upfront—and high margins drove the enormous spike to ~$17.5 billion in FY2024 (and higher in operating cash flow), transforming Nvidia into a cash-generating engine that can self-fund its future.</a:t>
          </a:r>
        </a:p>
        <a:p>
          <a:endParaRPr lang="en-US" sz="1100">
            <a:effectLst/>
            <a:latin typeface="+mn-lt"/>
            <a:ea typeface="+mn-ea"/>
            <a:cs typeface="+mn-cs"/>
          </a:endParaRPr>
        </a:p>
        <a:p>
          <a:r>
            <a:rPr lang="en-US" sz="1100" b="1">
              <a:effectLst/>
              <a:latin typeface="+mn-lt"/>
              <a:ea typeface="+mn-ea"/>
              <a:cs typeface="+mn-cs"/>
            </a:rPr>
            <a:t>Research and Development (R&amp;D): The Steady Ascent</a:t>
          </a:r>
        </a:p>
        <a:p>
          <a:r>
            <a:rPr lang="en-US" sz="1100">
              <a:effectLst/>
              <a:latin typeface="+mn-lt"/>
              <a:ea typeface="+mn-ea"/>
              <a:cs typeface="+mn-cs"/>
            </a:rPr>
            <a:t>The R&amp;D graph exhibits a steady, uninterrupted upward slope, reaching $8.7 billion in FY2024, in contrast to the erratic revenue and profit charts. The other graphs' spikes can be explained by this trend: Even in the lean years (FY2023), Nvidia made significant investments in chip architecture and CUDA. They had the H100 ready precisely when the generative AI wave hit, while rivals were still catching up, thanks to their steady investment.</a:t>
          </a:r>
        </a:p>
        <a:p>
          <a:endParaRPr lang="en-US" sz="1100">
            <a:effectLst/>
            <a:latin typeface="+mn-lt"/>
            <a:ea typeface="+mn-ea"/>
            <a:cs typeface="+mn-cs"/>
          </a:endParaRPr>
        </a:p>
        <a:p>
          <a:endParaRPr lang="en-US" sz="1100">
            <a:effectLst/>
            <a:latin typeface="+mn-lt"/>
            <a:ea typeface="+mn-ea"/>
            <a:cs typeface="+mn-cs"/>
          </a:endParaRPr>
        </a:p>
      </xdr:txBody>
    </xdr:sp>
    <xdr:clientData/>
  </xdr:twoCellAnchor>
  <xdr:twoCellAnchor>
    <xdr:from>
      <xdr:col>23</xdr:col>
      <xdr:colOff>284374</xdr:colOff>
      <xdr:row>53</xdr:row>
      <xdr:rowOff>130600</xdr:rowOff>
    </xdr:from>
    <xdr:to>
      <xdr:col>32</xdr:col>
      <xdr:colOff>586369</xdr:colOff>
      <xdr:row>69</xdr:row>
      <xdr:rowOff>124590</xdr:rowOff>
    </xdr:to>
    <xdr:graphicFrame macro="">
      <xdr:nvGraphicFramePr>
        <xdr:cNvPr id="29" name="Chart 8">
          <a:extLst>
            <a:ext uri="{FF2B5EF4-FFF2-40B4-BE49-F238E27FC236}">
              <a16:creationId xmlns:a16="http://schemas.microsoft.com/office/drawing/2014/main" id="{DE162B41-7A28-7B4A-4A30-07BAE1D51A9B}"/>
            </a:ext>
            <a:ext uri="{147F2762-F138-4A5C-976F-8EAC2B608ADB}">
              <a16:predDERef xmlns:a16="http://schemas.microsoft.com/office/drawing/2014/main" pred="{5D072D72-51E9-EBE6-9DD3-F88A70BA4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20222</xdr:colOff>
      <xdr:row>19</xdr:row>
      <xdr:rowOff>139424</xdr:rowOff>
    </xdr:from>
    <xdr:to>
      <xdr:col>40</xdr:col>
      <xdr:colOff>198349</xdr:colOff>
      <xdr:row>33</xdr:row>
      <xdr:rowOff>63794</xdr:rowOff>
    </xdr:to>
    <xdr:graphicFrame macro="">
      <xdr:nvGraphicFramePr>
        <xdr:cNvPr id="42" name="Chart 2">
          <a:extLst>
            <a:ext uri="{FF2B5EF4-FFF2-40B4-BE49-F238E27FC236}">
              <a16:creationId xmlns:a16="http://schemas.microsoft.com/office/drawing/2014/main" id="{991B0016-00EA-D41E-E89E-E776CB02B45E}"/>
            </a:ext>
            <a:ext uri="{147F2762-F138-4A5C-976F-8EAC2B608ADB}">
              <a16:predDERef xmlns:a16="http://schemas.microsoft.com/office/drawing/2014/main" pred="{DE162B41-7A28-7B4A-4A30-07BAE1D51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38256</xdr:colOff>
      <xdr:row>34</xdr:row>
      <xdr:rowOff>98510</xdr:rowOff>
    </xdr:from>
    <xdr:to>
      <xdr:col>40</xdr:col>
      <xdr:colOff>217491</xdr:colOff>
      <xdr:row>48</xdr:row>
      <xdr:rowOff>74587</xdr:rowOff>
    </xdr:to>
    <xdr:graphicFrame macro="">
      <xdr:nvGraphicFramePr>
        <xdr:cNvPr id="44" name="Chart 4">
          <a:extLst>
            <a:ext uri="{FF2B5EF4-FFF2-40B4-BE49-F238E27FC236}">
              <a16:creationId xmlns:a16="http://schemas.microsoft.com/office/drawing/2014/main" id="{F1DB4ABE-3500-2656-8D28-E005B08B3081}"/>
            </a:ext>
            <a:ext uri="{147F2762-F138-4A5C-976F-8EAC2B608ADB}">
              <a16:predDERef xmlns:a16="http://schemas.microsoft.com/office/drawing/2014/main" pred="{991B0016-00EA-D41E-E89E-E776CB02B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85</xdr:row>
      <xdr:rowOff>0</xdr:rowOff>
    </xdr:from>
    <xdr:to>
      <xdr:col>5</xdr:col>
      <xdr:colOff>1027206</xdr:colOff>
      <xdr:row>97</xdr:row>
      <xdr:rowOff>130736</xdr:rowOff>
    </xdr:to>
    <xdr:sp macro="" textlink="">
      <xdr:nvSpPr>
        <xdr:cNvPr id="3" name="TextBox 7">
          <a:extLst>
            <a:ext uri="{FF2B5EF4-FFF2-40B4-BE49-F238E27FC236}">
              <a16:creationId xmlns:a16="http://schemas.microsoft.com/office/drawing/2014/main" id="{FD8D6303-968A-CB41-93D9-59C5E7E059DC}"/>
            </a:ext>
            <a:ext uri="{147F2762-F138-4A5C-976F-8EAC2B608ADB}">
              <a16:predDERef xmlns:a16="http://schemas.microsoft.com/office/drawing/2014/main" pred="{88083832-C0BF-D551-7F88-8BC3EDC00D8B}"/>
            </a:ext>
          </a:extLst>
        </xdr:cNvPr>
        <xdr:cNvSpPr txBox="1"/>
      </xdr:nvSpPr>
      <xdr:spPr>
        <a:xfrm>
          <a:off x="0" y="17294412"/>
          <a:ext cx="9244853" cy="2371912"/>
        </a:xfrm>
        <a:prstGeom prst="rect">
          <a:avLst/>
        </a:prstGeom>
        <a:solidFill>
          <a:schemeClr val="bg1"/>
        </a:solidFill>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References:</a:t>
          </a:r>
          <a:r>
            <a:rPr lang="en-US" sz="1100" b="1" i="0" u="none" strike="noStrike" baseline="0">
              <a:solidFill>
                <a:srgbClr val="000000"/>
              </a:solidFill>
              <a:latin typeface="Aptos Narrow" panose="020B0004020202020204" pitchFamily="34" charset="0"/>
            </a:rPr>
            <a:t> </a:t>
          </a:r>
        </a:p>
        <a:p>
          <a:r>
            <a:rPr lang="en-IN" sz="1100" b="0" i="0" u="none" strike="noStrike">
              <a:solidFill>
                <a:schemeClr val="dk1"/>
              </a:solidFill>
              <a:effectLst/>
              <a:latin typeface="+mn-lt"/>
              <a:ea typeface="+mn-ea"/>
              <a:cs typeface="+mn-cs"/>
            </a:rPr>
            <a:t>Nvidia (2024) 2024 Annual Report  Available at: https://s201.q4cdn.com/141608511/files/doc_financials/2024/q4/1cbe8fe7-e08a-46e3-8dcc-b429fc06c1a4.pdf(Accessed: 7 November 2025).</a:t>
          </a:r>
        </a:p>
        <a:p>
          <a:r>
            <a:rPr lang="en-IN" sz="1100" b="0" i="0" u="none" strike="noStrike">
              <a:solidFill>
                <a:schemeClr val="dk1"/>
              </a:solidFill>
              <a:effectLst/>
              <a:latin typeface="+mn-lt"/>
              <a:ea typeface="+mn-ea"/>
              <a:cs typeface="+mn-cs"/>
            </a:rPr>
            <a:t>Nvidia (2023) 2023 Annual Report. Available at: https://s201.q4cdn.com/141608511/files/doc_financials/2023/q4/4e9abe7b-fdc7-4cd2-8487-dc3a99f30e98.pdf(Accessed: 7 November 2025).</a:t>
          </a:r>
        </a:p>
        <a:p>
          <a:r>
            <a:rPr lang="en-IN" sz="1100" b="0" i="0" u="none" strike="noStrike">
              <a:solidFill>
                <a:schemeClr val="dk1"/>
              </a:solidFill>
              <a:effectLst/>
              <a:latin typeface="+mn-lt"/>
              <a:ea typeface="+mn-ea"/>
              <a:cs typeface="+mn-cs"/>
            </a:rPr>
            <a:t>Nvidia (2022) 2022 Annual Report  Available at: https://www.sec.gov/Archives/edgar/data/1045810/000104581022000036/nvda-20220130.htm (Accessed: 7 November 2025).</a:t>
          </a:r>
        </a:p>
        <a:p>
          <a:r>
            <a:rPr lang="en-IN" sz="1100" b="0" i="0" u="none" strike="noStrike">
              <a:solidFill>
                <a:schemeClr val="dk1"/>
              </a:solidFill>
              <a:effectLst/>
              <a:latin typeface="+mn-lt"/>
              <a:ea typeface="+mn-ea"/>
              <a:cs typeface="+mn-cs"/>
            </a:rPr>
            <a:t>Nvidia (2021) 2021 Annual Report  Available at: https://www.sec.gov/Archives/edgar/data/1045810/000104581021000010/nvda-20210131.htm  (Accessed: 7 November 2025).</a:t>
          </a:r>
        </a:p>
        <a:p>
          <a:r>
            <a:rPr lang="en-IN" sz="1100" b="0" i="0" u="none" strike="noStrike">
              <a:solidFill>
                <a:schemeClr val="dk1"/>
              </a:solidFill>
              <a:effectLst/>
              <a:latin typeface="+mn-lt"/>
              <a:ea typeface="+mn-ea"/>
              <a:cs typeface="+mn-cs"/>
            </a:rPr>
            <a:t>Nvidia (2020) 2020 Annual Report  Available at: https://www.sec.gov/Archives/edgar/data/1045810/000104581020000010/nvda-2020x10k.htm  (Accessed: 7 November 2025).</a:t>
          </a:r>
        </a:p>
        <a:p>
          <a:r>
            <a:rPr lang="en-IN" sz="1100" b="0" i="0" u="none" strike="noStrike">
              <a:solidFill>
                <a:schemeClr val="dk1"/>
              </a:solidFill>
              <a:effectLst/>
              <a:latin typeface="+mn-lt"/>
              <a:ea typeface="+mn-ea"/>
              <a:cs typeface="+mn-cs"/>
            </a:rPr>
            <a:t>Nvidia (2025) 2025 Annual Report Available at: https://s201.q4cdn.com/141608511/files/doc_financials/2025/annual/NVIDIA-2025-Annual-Report.pdf</a:t>
          </a:r>
        </a:p>
        <a:p>
          <a:pPr marL="0" indent="0" algn="ctr"/>
          <a:endParaRPr lang="en-US" sz="1100" b="0" i="0" u="none" strike="noStrike">
            <a:solidFill>
              <a:srgbClr val="000000"/>
            </a:solidFill>
            <a:latin typeface="Aptos Narrow"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20948</xdr:colOff>
      <xdr:row>21</xdr:row>
      <xdr:rowOff>4451</xdr:rowOff>
    </xdr:from>
    <xdr:to>
      <xdr:col>30</xdr:col>
      <xdr:colOff>10160</xdr:colOff>
      <xdr:row>39</xdr:row>
      <xdr:rowOff>187871</xdr:rowOff>
    </xdr:to>
    <xdr:graphicFrame macro="">
      <xdr:nvGraphicFramePr>
        <xdr:cNvPr id="66" name="Chart 1">
          <a:extLst>
            <a:ext uri="{FF2B5EF4-FFF2-40B4-BE49-F238E27FC236}">
              <a16:creationId xmlns:a16="http://schemas.microsoft.com/office/drawing/2014/main" id="{FDBF1C56-5D11-1C46-A021-D6706751D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859367</xdr:colOff>
      <xdr:row>42</xdr:row>
      <xdr:rowOff>10801</xdr:rowOff>
    </xdr:from>
    <xdr:to>
      <xdr:col>14</xdr:col>
      <xdr:colOff>859368</xdr:colOff>
      <xdr:row>60</xdr:row>
      <xdr:rowOff>187871</xdr:rowOff>
    </xdr:to>
    <xdr:graphicFrame macro="">
      <xdr:nvGraphicFramePr>
        <xdr:cNvPr id="41" name="Chart 3">
          <a:extLst>
            <a:ext uri="{FF2B5EF4-FFF2-40B4-BE49-F238E27FC236}">
              <a16:creationId xmlns:a16="http://schemas.microsoft.com/office/drawing/2014/main" id="{CC3179D3-A65B-9848-9A1C-F394184D7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12700</xdr:colOff>
      <xdr:row>2</xdr:row>
      <xdr:rowOff>0</xdr:rowOff>
    </xdr:from>
    <xdr:to>
      <xdr:col>30</xdr:col>
      <xdr:colOff>0</xdr:colOff>
      <xdr:row>19</xdr:row>
      <xdr:rowOff>29195</xdr:rowOff>
    </xdr:to>
    <xdr:graphicFrame macro="">
      <xdr:nvGraphicFramePr>
        <xdr:cNvPr id="60" name="Chart 4">
          <a:extLst>
            <a:ext uri="{FF2B5EF4-FFF2-40B4-BE49-F238E27FC236}">
              <a16:creationId xmlns:a16="http://schemas.microsoft.com/office/drawing/2014/main" id="{B6707A82-D316-0043-8BCE-9F012D1B2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16035</xdr:colOff>
      <xdr:row>63</xdr:row>
      <xdr:rowOff>24232</xdr:rowOff>
    </xdr:from>
    <xdr:to>
      <xdr:col>30</xdr:col>
      <xdr:colOff>20086</xdr:colOff>
      <xdr:row>83</xdr:row>
      <xdr:rowOff>7708</xdr:rowOff>
    </xdr:to>
    <xdr:graphicFrame macro="">
      <xdr:nvGraphicFramePr>
        <xdr:cNvPr id="77" name="Chart 8">
          <a:extLst>
            <a:ext uri="{FF2B5EF4-FFF2-40B4-BE49-F238E27FC236}">
              <a16:creationId xmlns:a16="http://schemas.microsoft.com/office/drawing/2014/main" id="{F1E637D0-67DB-6A42-A810-8CAEAB2F7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xdr:colOff>
      <xdr:row>84</xdr:row>
      <xdr:rowOff>186048</xdr:rowOff>
    </xdr:from>
    <xdr:to>
      <xdr:col>32</xdr:col>
      <xdr:colOff>0</xdr:colOff>
      <xdr:row>108</xdr:row>
      <xdr:rowOff>50800</xdr:rowOff>
    </xdr:to>
    <xdr:graphicFrame macro="">
      <xdr:nvGraphicFramePr>
        <xdr:cNvPr id="83" name="Chart 9">
          <a:extLst>
            <a:ext uri="{FF2B5EF4-FFF2-40B4-BE49-F238E27FC236}">
              <a16:creationId xmlns:a16="http://schemas.microsoft.com/office/drawing/2014/main" id="{7B8C5196-0D1E-FF4A-BF5B-92F1CCA43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6350</xdr:colOff>
      <xdr:row>20</xdr:row>
      <xdr:rowOff>140357</xdr:rowOff>
    </xdr:from>
    <xdr:to>
      <xdr:col>15</xdr:col>
      <xdr:colOff>25400</xdr:colOff>
      <xdr:row>39</xdr:row>
      <xdr:rowOff>184077</xdr:rowOff>
    </xdr:to>
    <xdr:graphicFrame macro="">
      <xdr:nvGraphicFramePr>
        <xdr:cNvPr id="35" name="Chart 10">
          <a:extLst>
            <a:ext uri="{FF2B5EF4-FFF2-40B4-BE49-F238E27FC236}">
              <a16:creationId xmlns:a16="http://schemas.microsoft.com/office/drawing/2014/main" id="{6D1D3F7C-4E82-D113-09E0-47393A122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4452</xdr:colOff>
      <xdr:row>42</xdr:row>
      <xdr:rowOff>6349</xdr:rowOff>
    </xdr:from>
    <xdr:to>
      <xdr:col>30</xdr:col>
      <xdr:colOff>0</xdr:colOff>
      <xdr:row>61</xdr:row>
      <xdr:rowOff>47037</xdr:rowOff>
    </xdr:to>
    <xdr:graphicFrame macro="">
      <xdr:nvGraphicFramePr>
        <xdr:cNvPr id="72" name="Chart 11">
          <a:extLst>
            <a:ext uri="{FF2B5EF4-FFF2-40B4-BE49-F238E27FC236}">
              <a16:creationId xmlns:a16="http://schemas.microsoft.com/office/drawing/2014/main" id="{75465B4A-F464-9261-393F-4746F179D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20948</xdr:colOff>
      <xdr:row>62</xdr:row>
      <xdr:rowOff>169553</xdr:rowOff>
    </xdr:from>
    <xdr:to>
      <xdr:col>15</xdr:col>
      <xdr:colOff>29195</xdr:colOff>
      <xdr:row>82</xdr:row>
      <xdr:rowOff>175173</xdr:rowOff>
    </xdr:to>
    <xdr:graphicFrame macro="">
      <xdr:nvGraphicFramePr>
        <xdr:cNvPr id="46" name="Chart 12">
          <a:extLst>
            <a:ext uri="{FF2B5EF4-FFF2-40B4-BE49-F238E27FC236}">
              <a16:creationId xmlns:a16="http://schemas.microsoft.com/office/drawing/2014/main" id="{903DD6FD-792C-5810-52CD-98AFA0798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867103</xdr:colOff>
      <xdr:row>85</xdr:row>
      <xdr:rowOff>7882</xdr:rowOff>
    </xdr:from>
    <xdr:to>
      <xdr:col>15</xdr:col>
      <xdr:colOff>0</xdr:colOff>
      <xdr:row>102</xdr:row>
      <xdr:rowOff>29196</xdr:rowOff>
    </xdr:to>
    <xdr:graphicFrame macro="">
      <xdr:nvGraphicFramePr>
        <xdr:cNvPr id="52" name="Chart 2">
          <a:extLst>
            <a:ext uri="{FF2B5EF4-FFF2-40B4-BE49-F238E27FC236}">
              <a16:creationId xmlns:a16="http://schemas.microsoft.com/office/drawing/2014/main" id="{1651556E-FBB2-416B-547D-D1609AA76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840441</xdr:colOff>
      <xdr:row>2</xdr:row>
      <xdr:rowOff>0</xdr:rowOff>
    </xdr:from>
    <xdr:to>
      <xdr:col>15</xdr:col>
      <xdr:colOff>20320</xdr:colOff>
      <xdr:row>19</xdr:row>
      <xdr:rowOff>20320</xdr:rowOff>
    </xdr:to>
    <xdr:graphicFrame macro="">
      <xdr:nvGraphicFramePr>
        <xdr:cNvPr id="29" name="Chart 6">
          <a:extLst>
            <a:ext uri="{FF2B5EF4-FFF2-40B4-BE49-F238E27FC236}">
              <a16:creationId xmlns:a16="http://schemas.microsoft.com/office/drawing/2014/main" id="{A3A9FBC4-56E2-C57D-F699-6CFE7E545C01}"/>
            </a:ext>
            <a:ext uri="{147F2762-F138-4A5C-976F-8EAC2B608ADB}">
              <a16:predDERef xmlns:a16="http://schemas.microsoft.com/office/drawing/2014/main" pred="{1651556E-FBB2-416B-547D-D1609AA76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101599</xdr:colOff>
      <xdr:row>5</xdr:row>
      <xdr:rowOff>59263</xdr:rowOff>
    </xdr:from>
    <xdr:to>
      <xdr:col>15</xdr:col>
      <xdr:colOff>804332</xdr:colOff>
      <xdr:row>6</xdr:row>
      <xdr:rowOff>118529</xdr:rowOff>
    </xdr:to>
    <xdr:sp macro="" textlink="">
      <xdr:nvSpPr>
        <xdr:cNvPr id="6" name="Down Arrow 5">
          <a:extLst>
            <a:ext uri="{FF2B5EF4-FFF2-40B4-BE49-F238E27FC236}">
              <a16:creationId xmlns:a16="http://schemas.microsoft.com/office/drawing/2014/main" id="{8A0068C4-DE0F-F174-9813-BB96C9139FA2}"/>
            </a:ext>
          </a:extLst>
        </xdr:cNvPr>
        <xdr:cNvSpPr/>
      </xdr:nvSpPr>
      <xdr:spPr>
        <a:xfrm rot="16200000">
          <a:off x="16535399" y="1049863"/>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118533</xdr:colOff>
      <xdr:row>25</xdr:row>
      <xdr:rowOff>152400</xdr:rowOff>
    </xdr:from>
    <xdr:to>
      <xdr:col>15</xdr:col>
      <xdr:colOff>821266</xdr:colOff>
      <xdr:row>27</xdr:row>
      <xdr:rowOff>25400</xdr:rowOff>
    </xdr:to>
    <xdr:sp macro="" textlink="">
      <xdr:nvSpPr>
        <xdr:cNvPr id="7" name="Down Arrow 6">
          <a:extLst>
            <a:ext uri="{FF2B5EF4-FFF2-40B4-BE49-F238E27FC236}">
              <a16:creationId xmlns:a16="http://schemas.microsoft.com/office/drawing/2014/main" id="{52EC9F36-CD91-5640-A53C-2B106CFC0CEA}"/>
            </a:ext>
          </a:extLst>
        </xdr:cNvPr>
        <xdr:cNvSpPr/>
      </xdr:nvSpPr>
      <xdr:spPr>
        <a:xfrm rot="16200000">
          <a:off x="16552333" y="4495800"/>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101600</xdr:colOff>
      <xdr:row>45</xdr:row>
      <xdr:rowOff>152400</xdr:rowOff>
    </xdr:from>
    <xdr:to>
      <xdr:col>15</xdr:col>
      <xdr:colOff>804333</xdr:colOff>
      <xdr:row>47</xdr:row>
      <xdr:rowOff>25399</xdr:rowOff>
    </xdr:to>
    <xdr:sp macro="" textlink="">
      <xdr:nvSpPr>
        <xdr:cNvPr id="12" name="Down Arrow 11">
          <a:extLst>
            <a:ext uri="{FF2B5EF4-FFF2-40B4-BE49-F238E27FC236}">
              <a16:creationId xmlns:a16="http://schemas.microsoft.com/office/drawing/2014/main" id="{2EC42B95-DE24-4045-9CD5-366B288B3A3E}"/>
            </a:ext>
          </a:extLst>
        </xdr:cNvPr>
        <xdr:cNvSpPr/>
      </xdr:nvSpPr>
      <xdr:spPr>
        <a:xfrm rot="16200000">
          <a:off x="16535400" y="8221133"/>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118533</xdr:colOff>
      <xdr:row>67</xdr:row>
      <xdr:rowOff>16934</xdr:rowOff>
    </xdr:from>
    <xdr:to>
      <xdr:col>15</xdr:col>
      <xdr:colOff>821266</xdr:colOff>
      <xdr:row>68</xdr:row>
      <xdr:rowOff>76200</xdr:rowOff>
    </xdr:to>
    <xdr:sp macro="" textlink="">
      <xdr:nvSpPr>
        <xdr:cNvPr id="14" name="Down Arrow 13">
          <a:extLst>
            <a:ext uri="{FF2B5EF4-FFF2-40B4-BE49-F238E27FC236}">
              <a16:creationId xmlns:a16="http://schemas.microsoft.com/office/drawing/2014/main" id="{3BBCABE0-E4F6-E441-80A6-F379E94A94B0}"/>
            </a:ext>
          </a:extLst>
        </xdr:cNvPr>
        <xdr:cNvSpPr/>
      </xdr:nvSpPr>
      <xdr:spPr>
        <a:xfrm rot="16200000">
          <a:off x="16552333" y="12183534"/>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135467</xdr:colOff>
      <xdr:row>89</xdr:row>
      <xdr:rowOff>169333</xdr:rowOff>
    </xdr:from>
    <xdr:to>
      <xdr:col>15</xdr:col>
      <xdr:colOff>838200</xdr:colOff>
      <xdr:row>91</xdr:row>
      <xdr:rowOff>42333</xdr:rowOff>
    </xdr:to>
    <xdr:sp macro="" textlink="">
      <xdr:nvSpPr>
        <xdr:cNvPr id="15" name="Down Arrow 14">
          <a:extLst>
            <a:ext uri="{FF2B5EF4-FFF2-40B4-BE49-F238E27FC236}">
              <a16:creationId xmlns:a16="http://schemas.microsoft.com/office/drawing/2014/main" id="{AEADD785-B127-A242-B295-5D7B066315D2}"/>
            </a:ext>
          </a:extLst>
        </xdr:cNvPr>
        <xdr:cNvSpPr/>
      </xdr:nvSpPr>
      <xdr:spPr>
        <a:xfrm rot="16200000">
          <a:off x="16569267" y="16433800"/>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84667</xdr:colOff>
      <xdr:row>12</xdr:row>
      <xdr:rowOff>169333</xdr:rowOff>
    </xdr:from>
    <xdr:to>
      <xdr:col>22</xdr:col>
      <xdr:colOff>787400</xdr:colOff>
      <xdr:row>14</xdr:row>
      <xdr:rowOff>42333</xdr:rowOff>
    </xdr:to>
    <xdr:sp macro="" textlink="">
      <xdr:nvSpPr>
        <xdr:cNvPr id="16" name="Down Arrow 15">
          <a:extLst>
            <a:ext uri="{FF2B5EF4-FFF2-40B4-BE49-F238E27FC236}">
              <a16:creationId xmlns:a16="http://schemas.microsoft.com/office/drawing/2014/main" id="{C6A7E6DE-F4AA-2042-8657-33F396736DBC}"/>
            </a:ext>
          </a:extLst>
        </xdr:cNvPr>
        <xdr:cNvSpPr/>
      </xdr:nvSpPr>
      <xdr:spPr>
        <a:xfrm rot="5400000">
          <a:off x="22682200" y="2463800"/>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50800</xdr:colOff>
      <xdr:row>34</xdr:row>
      <xdr:rowOff>101595</xdr:rowOff>
    </xdr:from>
    <xdr:to>
      <xdr:col>22</xdr:col>
      <xdr:colOff>753533</xdr:colOff>
      <xdr:row>35</xdr:row>
      <xdr:rowOff>160861</xdr:rowOff>
    </xdr:to>
    <xdr:sp macro="" textlink="">
      <xdr:nvSpPr>
        <xdr:cNvPr id="19" name="Down Arrow 18">
          <a:extLst>
            <a:ext uri="{FF2B5EF4-FFF2-40B4-BE49-F238E27FC236}">
              <a16:creationId xmlns:a16="http://schemas.microsoft.com/office/drawing/2014/main" id="{AAB22DEB-E4B0-0F42-923C-93F66D75E806}"/>
            </a:ext>
          </a:extLst>
        </xdr:cNvPr>
        <xdr:cNvSpPr/>
      </xdr:nvSpPr>
      <xdr:spPr>
        <a:xfrm rot="5400000">
          <a:off x="22648333" y="6121395"/>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67732</xdr:colOff>
      <xdr:row>55</xdr:row>
      <xdr:rowOff>0</xdr:rowOff>
    </xdr:from>
    <xdr:to>
      <xdr:col>22</xdr:col>
      <xdr:colOff>770465</xdr:colOff>
      <xdr:row>56</xdr:row>
      <xdr:rowOff>59266</xdr:rowOff>
    </xdr:to>
    <xdr:sp macro="" textlink="">
      <xdr:nvSpPr>
        <xdr:cNvPr id="20" name="Down Arrow 19">
          <a:extLst>
            <a:ext uri="{FF2B5EF4-FFF2-40B4-BE49-F238E27FC236}">
              <a16:creationId xmlns:a16="http://schemas.microsoft.com/office/drawing/2014/main" id="{21EF32C3-A72E-1A43-9F88-9F6F02A1C82F}"/>
            </a:ext>
          </a:extLst>
        </xdr:cNvPr>
        <xdr:cNvSpPr/>
      </xdr:nvSpPr>
      <xdr:spPr>
        <a:xfrm rot="5400000">
          <a:off x="22665265" y="9931400"/>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101598</xdr:colOff>
      <xdr:row>77</xdr:row>
      <xdr:rowOff>0</xdr:rowOff>
    </xdr:from>
    <xdr:to>
      <xdr:col>22</xdr:col>
      <xdr:colOff>804331</xdr:colOff>
      <xdr:row>78</xdr:row>
      <xdr:rowOff>59267</xdr:rowOff>
    </xdr:to>
    <xdr:sp macro="" textlink="">
      <xdr:nvSpPr>
        <xdr:cNvPr id="21" name="Down Arrow 20">
          <a:extLst>
            <a:ext uri="{FF2B5EF4-FFF2-40B4-BE49-F238E27FC236}">
              <a16:creationId xmlns:a16="http://schemas.microsoft.com/office/drawing/2014/main" id="{0A2FAC87-EE7E-AA45-A9C0-877CDAF93197}"/>
            </a:ext>
          </a:extLst>
        </xdr:cNvPr>
        <xdr:cNvSpPr/>
      </xdr:nvSpPr>
      <xdr:spPr>
        <a:xfrm rot="5400000">
          <a:off x="22699131" y="14029267"/>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101598</xdr:colOff>
      <xdr:row>102</xdr:row>
      <xdr:rowOff>0</xdr:rowOff>
    </xdr:from>
    <xdr:to>
      <xdr:col>22</xdr:col>
      <xdr:colOff>804331</xdr:colOff>
      <xdr:row>103</xdr:row>
      <xdr:rowOff>59266</xdr:rowOff>
    </xdr:to>
    <xdr:sp macro="" textlink="">
      <xdr:nvSpPr>
        <xdr:cNvPr id="22" name="Down Arrow 21">
          <a:extLst>
            <a:ext uri="{FF2B5EF4-FFF2-40B4-BE49-F238E27FC236}">
              <a16:creationId xmlns:a16="http://schemas.microsoft.com/office/drawing/2014/main" id="{A5F209C3-6DEE-724A-9D53-9A0F7BCC72CB}"/>
            </a:ext>
          </a:extLst>
        </xdr:cNvPr>
        <xdr:cNvSpPr/>
      </xdr:nvSpPr>
      <xdr:spPr>
        <a:xfrm rot="5400000">
          <a:off x="22699131" y="18685933"/>
          <a:ext cx="245533" cy="702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89</xdr:row>
      <xdr:rowOff>0</xdr:rowOff>
    </xdr:from>
    <xdr:to>
      <xdr:col>7</xdr:col>
      <xdr:colOff>132046</xdr:colOff>
      <xdr:row>100</xdr:row>
      <xdr:rowOff>166122</xdr:rowOff>
    </xdr:to>
    <xdr:sp macro="" textlink="">
      <xdr:nvSpPr>
        <xdr:cNvPr id="2" name="TextBox 7">
          <a:extLst>
            <a:ext uri="{FF2B5EF4-FFF2-40B4-BE49-F238E27FC236}">
              <a16:creationId xmlns:a16="http://schemas.microsoft.com/office/drawing/2014/main" id="{66420433-BC32-524C-8A7B-D85B7B74D21E}"/>
            </a:ext>
            <a:ext uri="{147F2762-F138-4A5C-976F-8EAC2B608ADB}">
              <a16:predDERef xmlns:a16="http://schemas.microsoft.com/office/drawing/2014/main" pred="{88083832-C0BF-D551-7F88-8BC3EDC00D8B}"/>
            </a:ext>
          </a:extLst>
        </xdr:cNvPr>
        <xdr:cNvSpPr txBox="1"/>
      </xdr:nvSpPr>
      <xdr:spPr>
        <a:xfrm>
          <a:off x="0" y="18359298"/>
          <a:ext cx="9244853" cy="2371912"/>
        </a:xfrm>
        <a:prstGeom prst="rect">
          <a:avLst/>
        </a:prstGeom>
        <a:solidFill>
          <a:schemeClr val="bg1"/>
        </a:solidFill>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References:</a:t>
          </a:r>
          <a:r>
            <a:rPr lang="en-US" sz="1100" b="1" i="0" u="none" strike="noStrike" baseline="0">
              <a:solidFill>
                <a:srgbClr val="000000"/>
              </a:solidFill>
              <a:latin typeface="Aptos Narrow" panose="020B0004020202020204" pitchFamily="34" charset="0"/>
            </a:rPr>
            <a:t> </a:t>
          </a:r>
        </a:p>
        <a:p>
          <a:r>
            <a:rPr lang="en-IN" sz="1100" b="0" i="0" u="none" strike="noStrike">
              <a:solidFill>
                <a:schemeClr val="dk1"/>
              </a:solidFill>
              <a:effectLst/>
              <a:latin typeface="+mn-lt"/>
              <a:ea typeface="+mn-ea"/>
              <a:cs typeface="+mn-cs"/>
            </a:rPr>
            <a:t>AMD (2025) AMD Form 10-K — 2024 Annual Report. Available at: </a:t>
          </a:r>
          <a:r>
            <a:rPr lang="en-IN" sz="1100" b="0" i="0" u="none" strike="noStrike">
              <a:solidFill>
                <a:schemeClr val="dk1"/>
              </a:solidFill>
              <a:effectLst/>
              <a:latin typeface="+mn-lt"/>
              <a:ea typeface="+mn-ea"/>
              <a:cs typeface="+mn-cs"/>
              <a:hlinkClick xmlns:r="http://schemas.openxmlformats.org/officeDocument/2006/relationships" r:id=""/>
            </a:rPr>
            <a:t>https://ir.amd.com/financial-information/sec-filings/content/0000002488-25-000012/amd-20241228.htm</a:t>
          </a:r>
          <a:r>
            <a:rPr lang="en-IN" sz="1100" b="0" i="0" u="none" strike="noStrike">
              <a:solidFill>
                <a:schemeClr val="dk1"/>
              </a:solidFill>
              <a:effectLst/>
              <a:latin typeface="+mn-lt"/>
              <a:ea typeface="+mn-ea"/>
              <a:cs typeface="+mn-cs"/>
            </a:rPr>
            <a:t> (Accessed: 7 November 2025).</a:t>
          </a:r>
        </a:p>
        <a:p>
          <a:r>
            <a:rPr lang="en-IN" sz="1100" b="0" i="0" u="none" strike="noStrike">
              <a:solidFill>
                <a:schemeClr val="dk1"/>
              </a:solidFill>
              <a:effectLst/>
              <a:latin typeface="+mn-lt"/>
              <a:ea typeface="+mn-ea"/>
              <a:cs typeface="+mn-cs"/>
            </a:rPr>
            <a:t>AMD (2024) AMD Form 10-K — 2023 Annual Report. Available at: </a:t>
          </a:r>
          <a:r>
            <a:rPr lang="en-IN" sz="1100" b="0" i="0" u="none" strike="noStrike">
              <a:solidFill>
                <a:schemeClr val="dk1"/>
              </a:solidFill>
              <a:effectLst/>
              <a:latin typeface="+mn-lt"/>
              <a:ea typeface="+mn-ea"/>
              <a:cs typeface="+mn-cs"/>
              <a:hlinkClick xmlns:r="http://schemas.openxmlformats.org/officeDocument/2006/relationships" r:id=""/>
            </a:rPr>
            <a:t>https://ir.amd.com/financial-information/sec-filings/content/0000002488-24-000012/amd-20231230.htm</a:t>
          </a:r>
          <a:r>
            <a:rPr lang="en-IN" sz="1100" b="0" i="0" u="none" strike="noStrike">
              <a:solidFill>
                <a:schemeClr val="dk1"/>
              </a:solidFill>
              <a:effectLst/>
              <a:latin typeface="+mn-lt"/>
              <a:ea typeface="+mn-ea"/>
              <a:cs typeface="+mn-cs"/>
            </a:rPr>
            <a:t> (Accessed: 7 November 2025).</a:t>
          </a:r>
        </a:p>
        <a:p>
          <a:r>
            <a:rPr lang="en-IN" sz="1100" b="0" i="0" u="none" strike="noStrike">
              <a:solidFill>
                <a:schemeClr val="dk1"/>
              </a:solidFill>
              <a:effectLst/>
              <a:latin typeface="+mn-lt"/>
              <a:ea typeface="+mn-ea"/>
              <a:cs typeface="+mn-cs"/>
            </a:rPr>
            <a:t>AMD (2023) AMD Form 10-K — 2022 Annual Report. Available at: </a:t>
          </a:r>
          <a:r>
            <a:rPr lang="en-IN" sz="1100" b="0" i="0" u="none" strike="noStrike">
              <a:solidFill>
                <a:schemeClr val="dk1"/>
              </a:solidFill>
              <a:effectLst/>
              <a:latin typeface="+mn-lt"/>
              <a:ea typeface="+mn-ea"/>
              <a:cs typeface="+mn-cs"/>
              <a:hlinkClick xmlns:r="http://schemas.openxmlformats.org/officeDocument/2006/relationships" r:id=""/>
            </a:rPr>
            <a:t>https://ir.amd.com/financial-information/sec-filings/content/0000002488-23-000047/amd-20221231.htm</a:t>
          </a:r>
          <a:r>
            <a:rPr lang="en-IN" sz="1100" b="0" i="0" u="none" strike="noStrike">
              <a:solidFill>
                <a:schemeClr val="dk1"/>
              </a:solidFill>
              <a:effectLst/>
              <a:latin typeface="+mn-lt"/>
              <a:ea typeface="+mn-ea"/>
              <a:cs typeface="+mn-cs"/>
            </a:rPr>
            <a:t> (Accessed: 7 November 2025).</a:t>
          </a:r>
        </a:p>
        <a:p>
          <a:r>
            <a:rPr lang="en-IN" sz="1100" b="0" i="0" u="none" strike="noStrike">
              <a:solidFill>
                <a:schemeClr val="dk1"/>
              </a:solidFill>
              <a:effectLst/>
              <a:latin typeface="+mn-lt"/>
              <a:ea typeface="+mn-ea"/>
              <a:cs typeface="+mn-cs"/>
            </a:rPr>
            <a:t>AMD (2022) AMD Form 10-K — 2021 Annual Report. Available at: </a:t>
          </a:r>
          <a:r>
            <a:rPr lang="en-IN" sz="1100" b="0" i="0" u="none" strike="noStrike">
              <a:solidFill>
                <a:schemeClr val="dk1"/>
              </a:solidFill>
              <a:effectLst/>
              <a:latin typeface="+mn-lt"/>
              <a:ea typeface="+mn-ea"/>
              <a:cs typeface="+mn-cs"/>
              <a:hlinkClick xmlns:r="http://schemas.openxmlformats.org/officeDocument/2006/relationships" r:id=""/>
            </a:rPr>
            <a:t>https://ir.amd.com/financial-information/sec-filings/content/0000002488-22-000016/amd-20211225.htm</a:t>
          </a:r>
          <a:r>
            <a:rPr lang="en-IN" sz="1100" b="0" i="0" u="none" strike="noStrike">
              <a:solidFill>
                <a:schemeClr val="dk1"/>
              </a:solidFill>
              <a:effectLst/>
              <a:latin typeface="+mn-lt"/>
              <a:ea typeface="+mn-ea"/>
              <a:cs typeface="+mn-cs"/>
            </a:rPr>
            <a:t> (Accessed: 7 November 2025).</a:t>
          </a:r>
        </a:p>
        <a:p>
          <a:r>
            <a:rPr lang="en-IN" sz="1100" b="0" i="0" u="none" strike="noStrike">
              <a:solidFill>
                <a:schemeClr val="dk1"/>
              </a:solidFill>
              <a:effectLst/>
              <a:latin typeface="+mn-lt"/>
              <a:ea typeface="+mn-ea"/>
              <a:cs typeface="+mn-cs"/>
            </a:rPr>
            <a:t>AMD (2021) AMD Form 10-K — 2020 Annual Report. Available at: </a:t>
          </a:r>
          <a:r>
            <a:rPr lang="en-IN" sz="1100" b="0" i="0" u="none" strike="noStrike">
              <a:solidFill>
                <a:schemeClr val="dk1"/>
              </a:solidFill>
              <a:effectLst/>
              <a:latin typeface="+mn-lt"/>
              <a:ea typeface="+mn-ea"/>
              <a:cs typeface="+mn-cs"/>
              <a:hlinkClick xmlns:r="http://schemas.openxmlformats.org/officeDocument/2006/relationships" r:id=""/>
            </a:rPr>
            <a:t>https://ir.amd.com/financial-information/sec-filings/content/0001628280-21-001185/amd-20201226.htm</a:t>
          </a:r>
          <a:r>
            <a:rPr lang="en-IN" sz="1100" b="0" i="0" u="none" strike="noStrike">
              <a:solidFill>
                <a:schemeClr val="dk1"/>
              </a:solidFill>
              <a:effectLst/>
              <a:latin typeface="+mn-lt"/>
              <a:ea typeface="+mn-ea"/>
              <a:cs typeface="+mn-cs"/>
            </a:rPr>
            <a:t> (Accessed: 7 November 2025).</a:t>
          </a:r>
        </a:p>
        <a:p>
          <a:pPr marL="0" indent="0" algn="ctr"/>
          <a:endParaRPr lang="en-US" sz="1100" b="0" i="0" u="none" strike="noStrike">
            <a:solidFill>
              <a:srgbClr val="000000"/>
            </a:solidFill>
            <a:latin typeface="Aptos Narrow"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289560</xdr:colOff>
      <xdr:row>2</xdr:row>
      <xdr:rowOff>171450</xdr:rowOff>
    </xdr:from>
    <xdr:to>
      <xdr:col>15</xdr:col>
      <xdr:colOff>266700</xdr:colOff>
      <xdr:row>19</xdr:row>
      <xdr:rowOff>167640</xdr:rowOff>
    </xdr:to>
    <xdr:graphicFrame macro="">
      <xdr:nvGraphicFramePr>
        <xdr:cNvPr id="7" name="Chart 4">
          <a:extLst>
            <a:ext uri="{FF2B5EF4-FFF2-40B4-BE49-F238E27FC236}">
              <a16:creationId xmlns:a16="http://schemas.microsoft.com/office/drawing/2014/main" id="{02BA1AF5-E13C-7AB4-40DD-019BD85A6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236220</xdr:colOff>
      <xdr:row>2</xdr:row>
      <xdr:rowOff>72390</xdr:rowOff>
    </xdr:from>
    <xdr:to>
      <xdr:col>31</xdr:col>
      <xdr:colOff>525780</xdr:colOff>
      <xdr:row>17</xdr:row>
      <xdr:rowOff>72390</xdr:rowOff>
    </xdr:to>
    <xdr:graphicFrame macro="">
      <xdr:nvGraphicFramePr>
        <xdr:cNvPr id="35" name="Chart 5">
          <a:extLst>
            <a:ext uri="{FF2B5EF4-FFF2-40B4-BE49-F238E27FC236}">
              <a16:creationId xmlns:a16="http://schemas.microsoft.com/office/drawing/2014/main" id="{08B7021B-3D03-5747-43EC-227346577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228600</xdr:colOff>
      <xdr:row>19</xdr:row>
      <xdr:rowOff>72390</xdr:rowOff>
    </xdr:from>
    <xdr:to>
      <xdr:col>31</xdr:col>
      <xdr:colOff>533400</xdr:colOff>
      <xdr:row>34</xdr:row>
      <xdr:rowOff>72390</xdr:rowOff>
    </xdr:to>
    <xdr:graphicFrame macro="">
      <xdr:nvGraphicFramePr>
        <xdr:cNvPr id="41" name="Chart 6">
          <a:extLst>
            <a:ext uri="{FF2B5EF4-FFF2-40B4-BE49-F238E27FC236}">
              <a16:creationId xmlns:a16="http://schemas.microsoft.com/office/drawing/2014/main" id="{EA8FFBE2-4256-6E62-AAEC-8A4102FF6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55</xdr:row>
      <xdr:rowOff>152400</xdr:rowOff>
    </xdr:from>
    <xdr:to>
      <xdr:col>15</xdr:col>
      <xdr:colOff>144780</xdr:colOff>
      <xdr:row>70</xdr:row>
      <xdr:rowOff>83820</xdr:rowOff>
    </xdr:to>
    <xdr:graphicFrame macro="">
      <xdr:nvGraphicFramePr>
        <xdr:cNvPr id="29" name="Chart 7">
          <a:extLst>
            <a:ext uri="{FF2B5EF4-FFF2-40B4-BE49-F238E27FC236}">
              <a16:creationId xmlns:a16="http://schemas.microsoft.com/office/drawing/2014/main" id="{321D2B65-14C5-1BE6-BA21-B26F3D63D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251460</xdr:colOff>
      <xdr:row>36</xdr:row>
      <xdr:rowOff>19050</xdr:rowOff>
    </xdr:from>
    <xdr:to>
      <xdr:col>31</xdr:col>
      <xdr:colOff>556260</xdr:colOff>
      <xdr:row>51</xdr:row>
      <xdr:rowOff>3810</xdr:rowOff>
    </xdr:to>
    <xdr:graphicFrame macro="">
      <xdr:nvGraphicFramePr>
        <xdr:cNvPr id="62" name="Chart 9">
          <a:extLst>
            <a:ext uri="{FF2B5EF4-FFF2-40B4-BE49-F238E27FC236}">
              <a16:creationId xmlns:a16="http://schemas.microsoft.com/office/drawing/2014/main" id="{151063E1-1BDD-B6ED-1029-562F1D02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259080</xdr:colOff>
      <xdr:row>53</xdr:row>
      <xdr:rowOff>3810</xdr:rowOff>
    </xdr:from>
    <xdr:to>
      <xdr:col>31</xdr:col>
      <xdr:colOff>114300</xdr:colOff>
      <xdr:row>68</xdr:row>
      <xdr:rowOff>3810</xdr:rowOff>
    </xdr:to>
    <xdr:graphicFrame macro="">
      <xdr:nvGraphicFramePr>
        <xdr:cNvPr id="63" name="Chart 14">
          <a:extLst>
            <a:ext uri="{FF2B5EF4-FFF2-40B4-BE49-F238E27FC236}">
              <a16:creationId xmlns:a16="http://schemas.microsoft.com/office/drawing/2014/main" id="{2AD3A4CB-CFDE-6554-8DE6-BDF92850F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297180</xdr:colOff>
      <xdr:row>21</xdr:row>
      <xdr:rowOff>26670</xdr:rowOff>
    </xdr:from>
    <xdr:to>
      <xdr:col>15</xdr:col>
      <xdr:colOff>60960</xdr:colOff>
      <xdr:row>36</xdr:row>
      <xdr:rowOff>26670</xdr:rowOff>
    </xdr:to>
    <xdr:graphicFrame macro="">
      <xdr:nvGraphicFramePr>
        <xdr:cNvPr id="16" name="Chart 1">
          <a:extLst>
            <a:ext uri="{FF2B5EF4-FFF2-40B4-BE49-F238E27FC236}">
              <a16:creationId xmlns:a16="http://schemas.microsoft.com/office/drawing/2014/main" id="{8D64C497-A390-98DD-56AC-935097ED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274320</xdr:colOff>
      <xdr:row>38</xdr:row>
      <xdr:rowOff>171450</xdr:rowOff>
    </xdr:from>
    <xdr:to>
      <xdr:col>15</xdr:col>
      <xdr:colOff>38100</xdr:colOff>
      <xdr:row>53</xdr:row>
      <xdr:rowOff>156210</xdr:rowOff>
    </xdr:to>
    <xdr:graphicFrame macro="">
      <xdr:nvGraphicFramePr>
        <xdr:cNvPr id="23" name="Chart 6">
          <a:extLst>
            <a:ext uri="{FF2B5EF4-FFF2-40B4-BE49-F238E27FC236}">
              <a16:creationId xmlns:a16="http://schemas.microsoft.com/office/drawing/2014/main" id="{A2C4728D-6733-636E-534F-C99BC69C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220980</xdr:colOff>
      <xdr:row>71</xdr:row>
      <xdr:rowOff>110490</xdr:rowOff>
    </xdr:from>
    <xdr:to>
      <xdr:col>32</xdr:col>
      <xdr:colOff>38100</xdr:colOff>
      <xdr:row>86</xdr:row>
      <xdr:rowOff>110490</xdr:rowOff>
    </xdr:to>
    <xdr:graphicFrame macro="">
      <xdr:nvGraphicFramePr>
        <xdr:cNvPr id="64" name="Chart 3">
          <a:extLst>
            <a:ext uri="{FF2B5EF4-FFF2-40B4-BE49-F238E27FC236}">
              <a16:creationId xmlns:a16="http://schemas.microsoft.com/office/drawing/2014/main" id="{002DCEB8-C219-0BB3-12A2-EA34173E9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502920</xdr:colOff>
      <xdr:row>2</xdr:row>
      <xdr:rowOff>148590</xdr:rowOff>
    </xdr:from>
    <xdr:to>
      <xdr:col>23</xdr:col>
      <xdr:colOff>480060</xdr:colOff>
      <xdr:row>92</xdr:row>
      <xdr:rowOff>76200</xdr:rowOff>
    </xdr:to>
    <xdr:sp macro="" textlink="">
      <xdr:nvSpPr>
        <xdr:cNvPr id="3" name="TextBox 1">
          <a:extLst>
            <a:ext uri="{FF2B5EF4-FFF2-40B4-BE49-F238E27FC236}">
              <a16:creationId xmlns:a16="http://schemas.microsoft.com/office/drawing/2014/main" id="{25E7E740-3537-B560-3054-87E86E722EE5}"/>
            </a:ext>
          </a:extLst>
        </xdr:cNvPr>
        <xdr:cNvSpPr txBox="1"/>
      </xdr:nvSpPr>
      <xdr:spPr>
        <a:xfrm>
          <a:off x="15826740" y="742950"/>
          <a:ext cx="4732020" cy="16432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Qualcomm Financial Analysis for Fiscal Years 2020 through 2024. Strategic Narrative and Performance Drivers.</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1. Revenue Growth and Drivers.  </a:t>
          </a:r>
        </a:p>
        <a:p>
          <a:r>
            <a:rPr lang="en-IN" sz="1100" b="0" i="0">
              <a:solidFill>
                <a:schemeClr val="dk1"/>
              </a:solidFill>
              <a:effectLst/>
              <a:latin typeface="+mn-lt"/>
              <a:ea typeface="+mn-ea"/>
              <a:cs typeface="+mn-cs"/>
            </a:rPr>
            <a:t>Qualcomm saw its revenue climb from 23.5 billion dollars in fiscal year 2020 up to 38.9 billion dollars by fiscal year 2024. This trend points to a move away from heavy dependence on smartphones toward broader market areas. Revenue from handsets went from 12.8 billion dollars to 24.9 billion dollars. Still, that growth has leveled off instead of pushing further. It hit a high of 28.8 billion dollars in fiscal year 2022. Then it fell by 22 percent in fiscal year 2023 because customers cut back on inventory. Things picked up again in fiscal year 2024 thanks to the Snapdragon X series rollout. The automotive area grew the most quickly. It rose from 644 million dollars to 2.9 billion dollars. That comes with a compound annual growth rate of 35 percent. This surge ties back to the October 2021 buyout of Veoneer's Arriver platform for 4.5 billion dollars. Snapdragon Digital Chassis now holds more than 70 percent of the market in automotive connectivity. IoT revenue stayed around 5.4 billion dollars. It makes up 14 percent of overall revenue. This is lower than the high of 7.4 billion dollars in fiscal year 2022. The drop happened as the WiFi market matured. Licensing revenue held firm at 5.6 billion dollars. It also accounts for 14 percent of total revenue. High gross margins over 90 percent come from patent royalties in this area.</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2. Margin Dynamics.  </a:t>
          </a:r>
        </a:p>
        <a:p>
          <a:r>
            <a:rPr lang="en-IN" sz="1100" b="0" i="0">
              <a:solidFill>
                <a:schemeClr val="dk1"/>
              </a:solidFill>
              <a:effectLst/>
              <a:latin typeface="+mn-lt"/>
              <a:ea typeface="+mn-ea"/>
              <a:cs typeface="+mn-cs"/>
            </a:rPr>
            <a:t>Qualcomm's gross margins moved between 55.7 percent in fiscal year 2023 and 57.8 percent at the top in fiscal year 2022. They stayed in a typical range of 55 to 58 percent. This fits the company's fabless approach to operations. Operating margins showed more ups and downs. They rose from 21 percent in fiscal year 2020 to 30 percent in fiscal year 2022. Then they dipped to 19 percent in fiscal year 2023. After that, they bounced back to 22 percent in fiscal year 2024. Such swings highlight operating leverage against a steady base of operating expenses from 9 to 12 billion dollars. Revenues varied widely from 23 billion dollars to 44 billion dollars during this time. The drop in margins during fiscal year 2023 stemmed from a 5.6 billion dollar fall in gross profit. That was a 22 percent cut. Operating expenses went up by 25 percent too. Management held R&amp;D at 8.8 billion dollars. The turnaround in fiscal year 2024 came from tighter operations. Operating expenses fell 3 percent. Revenue increased by 9 percent. This led to operating leverage of 3.3 times. Margins differ a lot across segments. Handsets sit at 50 to 55 percent. Automotive reaches 55 to 60 percent. IoT falls between 40 and 50 percent. Licensing goes beyond 90 percent. Automotive stands out as especially attractive for these reasons.</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3. Investment in Innovation.  </a:t>
          </a:r>
        </a:p>
        <a:p>
          <a:r>
            <a:rPr lang="en-IN" sz="1100" b="0" i="0">
              <a:solidFill>
                <a:schemeClr val="dk1"/>
              </a:solidFill>
              <a:effectLst/>
              <a:latin typeface="+mn-lt"/>
              <a:ea typeface="+mn-ea"/>
              <a:cs typeface="+mn-cs"/>
            </a:rPr>
            <a:t>Qualcomm boosted its R&amp;D spending from 5.9 billion dollars in fiscal year 2020 to 8.9 billion dollars in fiscal year 2024. It stayed at 22.8 percent of revenue. This matches the average in the semiconductor field. R&amp;D did not drop during the fiscal year 2023 slowdown. Instead, it grew by 8 percent to 8.8 billion dollars. Revenue fell 19 percent that year. This shows dedication to long-range tech aims. The fiscal year 2021 purchase of Nuvia for 1.4 billion dollars helped create the CPU design for Snapdragon X. That product launched in May 2024 for Windows AI PCs. It opens doors to the premium computing market over 50 billion dollars in size. Current R&amp;D focuses on the Hexagon Neural Processing Unit and on-device inference. These efforts tackle the move from cloud-based AI to edge computing.</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4. Profitability and Cash Generation.  </a:t>
          </a:r>
        </a:p>
        <a:p>
          <a:r>
            <a:rPr lang="en-IN" sz="1100" b="0" i="0">
              <a:solidFill>
                <a:schemeClr val="dk1"/>
              </a:solidFill>
              <a:effectLst/>
              <a:latin typeface="+mn-lt"/>
              <a:ea typeface="+mn-ea"/>
              <a:cs typeface="+mn-cs"/>
            </a:rPr>
            <a:t>Operating cash flow for Qualcomm doubled from 5.8 billion dollars in fiscal year 2020 to 12.2 billion dollars in fiscal year 2024. Total free cash flow added up to 31.7 billion dollars over this period. It covered capital spending from 2.7 percent to 6 percent of revenue. Strategic buys totaled 10 billion dollars. Returns to shareholders topped 33 billion dollars. The free cash flow to operating cash flow ratio ran at 70 to 80 percent. This lines up with leading semiconductor firms. Fiscal year 2023 saw an outstanding 12.1 billion dollars in free cash flow. One-time sales of assets helped boost that figure. Even with a 19 percent revenue decline and 51 percent drop in operating profit that year, Qualcomm produced 12.1 billion dollars in free cash flow. Effective management of working capital made this possible. It demonstrated solid resilience and financial room to maneuver in hard periods.</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5. Segment Performance and Strategic Positioning.  </a:t>
          </a:r>
        </a:p>
        <a:p>
          <a:r>
            <a:rPr lang="en-IN" sz="1100" b="0" i="0">
              <a:solidFill>
                <a:schemeClr val="dk1"/>
              </a:solidFill>
              <a:effectLst/>
              <a:latin typeface="+mn-lt"/>
              <a:ea typeface="+mn-ea"/>
              <a:cs typeface="+mn-cs"/>
            </a:rPr>
            <a:t>Handsets face more commoditization these days. Management expects them to make up just 50 percent of revenue by fiscal year 2027. They see the business as fully mature now. Automotive growth at a 35 percent compound annual rate to 2.9 billion dollars proves the worth of the Veoneer deal. Multi-year deals bring clearer views of future revenue. IoT revenue settled at 5.4 billion dollars. New chances in enterprise areas exist. But margins there are lower at 40 to 50 percent. Licensing stayed flat at 5.6 billion dollars. Limits come from device volumes and royalty rates. Still, 6G developments might push prices up to 6 or 7 billion dollars later on.</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6. Trend Analysis and Recovery.  </a:t>
          </a:r>
        </a:p>
        <a:p>
          <a:r>
            <a:rPr lang="en-IN" sz="1100" b="0" i="0">
              <a:solidFill>
                <a:schemeClr val="dk1"/>
              </a:solidFill>
              <a:effectLst/>
              <a:latin typeface="+mn-lt"/>
              <a:ea typeface="+mn-ea"/>
              <a:cs typeface="+mn-cs"/>
            </a:rPr>
            <a:t>Fiscal year 2023 brought a downturn for Qualcomm. Revenue dropped 19 percent. Operating profit fell 51 percent. Factors included a 2.2 billion dollar inventory write-down. COVID lockdowns in China played a role too. Pricing pushes from MediaTek added pressure. The fiscal year 2024 recovery featured a 9 percent revenue gain. Profits rose 30 percent. Inventory levels normalized during this time. The smartphone market steadied out. Automotive sales jumped 55 percent from the year before. The Snapdragon X launch succeeded as well. Much of the ups and downs traced to specific events. Operations themselves held up fine.</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7. Strategic Conclusion.  </a:t>
          </a:r>
        </a:p>
        <a:p>
          <a:r>
            <a:rPr lang="en-IN" sz="1100" b="0" i="0">
              <a:solidFill>
                <a:schemeClr val="dk1"/>
              </a:solidFill>
              <a:effectLst/>
              <a:latin typeface="+mn-lt"/>
              <a:ea typeface="+mn-ea"/>
              <a:cs typeface="+mn-cs"/>
            </a:rPr>
            <a:t>Qualcomm moved successfully beyond smartphone reliance. It now acts as a diversified provider focused on AI platforms. This shift raised the overall quality of revenue sources. The company put 10 billion dollars into acquisitions. These opened markets over 100 billion dollars in total value. Strong cash flow backs expansion efforts, more buys, and returns to owners. For fiscal years 2025 to 2027, Qualcomm aims for 10 to 15 percent revenue growth. That should hit 50 to 55 billion dollars. Operating margins should land between 28 and 30 percent. Automotive, AI PCs, and data centers will drive this progress.</a:t>
          </a:r>
        </a:p>
      </xdr:txBody>
    </xdr:sp>
    <xdr:clientData/>
  </xdr:twoCellAnchor>
  <xdr:twoCellAnchor>
    <xdr:from>
      <xdr:col>7</xdr:col>
      <xdr:colOff>198120</xdr:colOff>
      <xdr:row>71</xdr:row>
      <xdr:rowOff>179070</xdr:rowOff>
    </xdr:from>
    <xdr:to>
      <xdr:col>15</xdr:col>
      <xdr:colOff>15240</xdr:colOff>
      <xdr:row>86</xdr:row>
      <xdr:rowOff>179070</xdr:rowOff>
    </xdr:to>
    <xdr:graphicFrame macro="">
      <xdr:nvGraphicFramePr>
        <xdr:cNvPr id="58" name="Chart 2">
          <a:extLst>
            <a:ext uri="{FF2B5EF4-FFF2-40B4-BE49-F238E27FC236}">
              <a16:creationId xmlns:a16="http://schemas.microsoft.com/office/drawing/2014/main" id="{1CC96AD6-78D8-D854-E89F-40076C0C5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75</xdr:row>
      <xdr:rowOff>0</xdr:rowOff>
    </xdr:from>
    <xdr:to>
      <xdr:col>4</xdr:col>
      <xdr:colOff>211248</xdr:colOff>
      <xdr:row>86</xdr:row>
      <xdr:rowOff>67062</xdr:rowOff>
    </xdr:to>
    <xdr:sp macro="" textlink="">
      <xdr:nvSpPr>
        <xdr:cNvPr id="2" name="TextBox 7">
          <a:extLst>
            <a:ext uri="{FF2B5EF4-FFF2-40B4-BE49-F238E27FC236}">
              <a16:creationId xmlns:a16="http://schemas.microsoft.com/office/drawing/2014/main" id="{DB7F5796-C4CB-484E-A26D-3EAA38BDDE86}"/>
            </a:ext>
            <a:ext uri="{147F2762-F138-4A5C-976F-8EAC2B608ADB}">
              <a16:predDERef xmlns:a16="http://schemas.microsoft.com/office/drawing/2014/main" pred="{88083832-C0BF-D551-7F88-8BC3EDC00D8B}"/>
            </a:ext>
          </a:extLst>
        </xdr:cNvPr>
        <xdr:cNvSpPr txBox="1"/>
      </xdr:nvSpPr>
      <xdr:spPr>
        <a:xfrm>
          <a:off x="0" y="15384318"/>
          <a:ext cx="9245566" cy="2289562"/>
        </a:xfrm>
        <a:prstGeom prst="rect">
          <a:avLst/>
        </a:prstGeom>
        <a:solidFill>
          <a:schemeClr val="bg1"/>
        </a:solidFill>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References:</a:t>
          </a:r>
          <a:r>
            <a:rPr lang="en-US" sz="1100" b="1" i="0" u="none" strike="noStrike" baseline="0">
              <a:solidFill>
                <a:srgbClr val="000000"/>
              </a:solidFill>
              <a:latin typeface="Aptos Narrow" panose="020B0004020202020204" pitchFamily="34" charset="0"/>
            </a:rPr>
            <a:t> </a:t>
          </a:r>
        </a:p>
        <a:p>
          <a:r>
            <a:rPr lang="en-IN" sz="1100" b="0" i="0" u="none" strike="noStrike">
              <a:solidFill>
                <a:schemeClr val="dk1"/>
              </a:solidFill>
              <a:effectLst/>
              <a:latin typeface="+mn-lt"/>
              <a:ea typeface="+mn-ea"/>
              <a:cs typeface="+mn-cs"/>
            </a:rPr>
            <a:t>Qualcomm (2024) Qualcomm Inc. Form 10-K — 2024 Annual Report. Available at: https://d18rn0p25nwr6d.cloudfront.net/CIK-0000804328/5eed6c49-1a65-46e5-9498-cac58bb9381a.html (Accessed: 7 November 2025).</a:t>
          </a:r>
        </a:p>
        <a:p>
          <a:r>
            <a:rPr lang="en-IN" sz="1100" b="0" i="0" u="none" strike="noStrike">
              <a:solidFill>
                <a:schemeClr val="dk1"/>
              </a:solidFill>
              <a:effectLst/>
              <a:latin typeface="+mn-lt"/>
              <a:ea typeface="+mn-ea"/>
              <a:cs typeface="+mn-cs"/>
            </a:rPr>
            <a:t>Qualcomm (2023) Qualcomm Inc. Form 10-K — 2023 Annual Report. Available at: https://d18rn0p25nwr6d.cloudfront.net/CIK-0000804328/81e8834c-c657-4a48-ba64-822aecfab4e9.html (Accessed: 7 November 2025).</a:t>
          </a:r>
        </a:p>
        <a:p>
          <a:r>
            <a:rPr lang="en-IN" sz="1100" b="0" i="0" u="none" strike="noStrike">
              <a:solidFill>
                <a:schemeClr val="dk1"/>
              </a:solidFill>
              <a:effectLst/>
              <a:latin typeface="+mn-lt"/>
              <a:ea typeface="+mn-ea"/>
              <a:cs typeface="+mn-cs"/>
            </a:rPr>
            <a:t>Qualcomm (2022) Qualcomm Inc. Form 10-K — 2022 Annual Report. Available at: https://d18rn0p25nwr6d.cloudfront.net/CIK-0000804328/04fb4417-402f-4821-8c5e-682b737cdffd.html (Accessed: 7 November 2025).</a:t>
          </a:r>
        </a:p>
        <a:p>
          <a:r>
            <a:rPr lang="en-IN" sz="1100" b="0" i="0" u="none" strike="noStrike">
              <a:solidFill>
                <a:schemeClr val="dk1"/>
              </a:solidFill>
              <a:effectLst/>
              <a:latin typeface="+mn-lt"/>
              <a:ea typeface="+mn-ea"/>
              <a:cs typeface="+mn-cs"/>
            </a:rPr>
            <a:t>Qualcomm (2021) Qualcomm Inc. Form 10-K — 2021 Annual Report. Available at: https://d18rn0p25nwr6d.cloudfront.net/CIK-0000804328/2980f7b4-dab9-4e17-9112-83894e4b0b4c.html (Accessed: 7 November 2025).</a:t>
          </a:r>
        </a:p>
        <a:p>
          <a:r>
            <a:rPr lang="en-IN" sz="1100" b="0" i="0" u="none" strike="noStrike">
              <a:solidFill>
                <a:schemeClr val="dk1"/>
              </a:solidFill>
              <a:effectLst/>
              <a:latin typeface="+mn-lt"/>
              <a:ea typeface="+mn-ea"/>
              <a:cs typeface="+mn-cs"/>
            </a:rPr>
            <a:t>Qualcomm (2020) Qualcomm Inc. Form 10-K — 2020 Annual Report. Available at: https://d18rn0p25nwr6d.cloudfront.net/CIK-0000804328/ccbaf7a1-998d-458f-b54b-04ddfcfd4780.html (Accessed: 7 November 2025).</a:t>
          </a:r>
        </a:p>
        <a:p>
          <a:pPr marL="0" indent="0" algn="ctr"/>
          <a:endParaRPr lang="en-US" sz="1100" b="0" i="0" u="none" strike="noStrike">
            <a:solidFill>
              <a:srgbClr val="000000"/>
            </a:solidFill>
            <a:latin typeface="Aptos Narrow" panose="020B00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19050</xdr:colOff>
      <xdr:row>3</xdr:row>
      <xdr:rowOff>9525</xdr:rowOff>
    </xdr:from>
    <xdr:to>
      <xdr:col>24</xdr:col>
      <xdr:colOff>47625</xdr:colOff>
      <xdr:row>13</xdr:row>
      <xdr:rowOff>66675</xdr:rowOff>
    </xdr:to>
    <xdr:sp macro="" textlink="">
      <xdr:nvSpPr>
        <xdr:cNvPr id="4" name="TextBox 1">
          <a:extLst>
            <a:ext uri="{FF2B5EF4-FFF2-40B4-BE49-F238E27FC236}">
              <a16:creationId xmlns:a16="http://schemas.microsoft.com/office/drawing/2014/main" id="{6B037AA2-4C45-BF88-8C7A-0AF2AEEDDF40}"/>
            </a:ext>
            <a:ext uri="{147F2762-F138-4A5C-976F-8EAC2B608ADB}">
              <a16:predDERef xmlns:a16="http://schemas.microsoft.com/office/drawing/2014/main" pred="{DB6D2CCF-4839-C08A-3F14-4BC0DE222101}"/>
            </a:ext>
          </a:extLst>
        </xdr:cNvPr>
        <xdr:cNvSpPr txBox="1"/>
      </xdr:nvSpPr>
      <xdr:spPr>
        <a:xfrm>
          <a:off x="16525875" y="695325"/>
          <a:ext cx="4095750" cy="19621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 Revenue and Driver : Arm's sales have experienced a steady rise during the last five years, starting from approximately $2.03 billion and reaching more than $3.2 billion. This clearly shows that there is a strong demand for its chip designs.</a:t>
          </a:r>
        </a:p>
        <a:p>
          <a:pPr marL="0" indent="0" algn="l"/>
          <a:r>
            <a:rPr lang="en-US" sz="1100" b="0" i="0" u="none" strike="noStrike">
              <a:solidFill>
                <a:srgbClr val="000000"/>
              </a:solidFill>
              <a:latin typeface="Aptos Narrow" panose="020B0004020202020204" pitchFamily="34" charset="0"/>
            </a:rPr>
            <a:t>On the other hand, Net Income has been extremely unpredictable, going through considerable changes each year. The main reason for this volatility is the non-core factors like major one-off accounting gains/losses related to its SoftBank ownership, the failed NVIDIA acquisition, and huge R&amp;D and share-based compensation costs just before its 2023 IPO.</a:t>
          </a:r>
        </a:p>
      </xdr:txBody>
    </xdr:sp>
    <xdr:clientData/>
  </xdr:twoCellAnchor>
  <xdr:twoCellAnchor>
    <xdr:from>
      <xdr:col>17</xdr:col>
      <xdr:colOff>0</xdr:colOff>
      <xdr:row>33</xdr:row>
      <xdr:rowOff>142875</xdr:rowOff>
    </xdr:from>
    <xdr:to>
      <xdr:col>23</xdr:col>
      <xdr:colOff>9525</xdr:colOff>
      <xdr:row>43</xdr:row>
      <xdr:rowOff>142875</xdr:rowOff>
    </xdr:to>
    <xdr:sp macro="" textlink="">
      <xdr:nvSpPr>
        <xdr:cNvPr id="21" name="TextBox 2">
          <a:extLst>
            <a:ext uri="{FF2B5EF4-FFF2-40B4-BE49-F238E27FC236}">
              <a16:creationId xmlns:a16="http://schemas.microsoft.com/office/drawing/2014/main" id="{10B6A390-158D-23F7-AB89-230BAECC183F}"/>
            </a:ext>
            <a:ext uri="{147F2762-F138-4A5C-976F-8EAC2B608ADB}">
              <a16:predDERef xmlns:a16="http://schemas.microsoft.com/office/drawing/2014/main" pred="{6B037AA2-4C45-BF88-8C7A-0AF2AEEDDF40}"/>
            </a:ext>
          </a:extLst>
        </xdr:cNvPr>
        <xdr:cNvSpPr txBox="1"/>
      </xdr:nvSpPr>
      <xdr:spPr>
        <a:xfrm>
          <a:off x="11744325" y="6334125"/>
          <a:ext cx="3495675" cy="1704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Operating margin underwent a dramatic change, dropping from 26.6% in FY 2022 to 2.37% in FY 2023 but then recovering to 20% in FY 2024 as a result of the company's heavy investment in R&amp;D, increased selling and administrative expenses, and large share-based payments. These costs, which the company termed strategic, grew at a rate that surpassed the revenue growth rate, thus temporarily squeezing the margins as Arm was making investments for the future AI-driven growth through its expanded capabilities.</a:t>
          </a:r>
        </a:p>
      </xdr:txBody>
    </xdr:sp>
    <xdr:clientData/>
  </xdr:twoCellAnchor>
  <xdr:twoCellAnchor>
    <xdr:from>
      <xdr:col>17</xdr:col>
      <xdr:colOff>0</xdr:colOff>
      <xdr:row>17</xdr:row>
      <xdr:rowOff>0</xdr:rowOff>
    </xdr:from>
    <xdr:to>
      <xdr:col>24</xdr:col>
      <xdr:colOff>38100</xdr:colOff>
      <xdr:row>30</xdr:row>
      <xdr:rowOff>38100</xdr:rowOff>
    </xdr:to>
    <xdr:sp macro="" textlink="">
      <xdr:nvSpPr>
        <xdr:cNvPr id="33" name="TextBox 5">
          <a:extLst>
            <a:ext uri="{FF2B5EF4-FFF2-40B4-BE49-F238E27FC236}">
              <a16:creationId xmlns:a16="http://schemas.microsoft.com/office/drawing/2014/main" id="{62422436-ECB4-7E26-4C5F-31E92B634CB5}"/>
            </a:ext>
            <a:ext uri="{147F2762-F138-4A5C-976F-8EAC2B608ADB}">
              <a16:predDERef xmlns:a16="http://schemas.microsoft.com/office/drawing/2014/main" pred="{10B6A390-158D-23F7-AB89-230BAECC183F}"/>
            </a:ext>
          </a:extLst>
        </xdr:cNvPr>
        <xdr:cNvSpPr txBox="1"/>
      </xdr:nvSpPr>
      <xdr:spPr>
        <a:xfrm>
          <a:off x="16506825" y="3314700"/>
          <a:ext cx="4105275" cy="23907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 Operating Expense Breakdown : Research and development expenditure experienced a significant rise, from $1.133 billion to $1.979 billion, or by 74.67% year-on-year, in FY2023 and FY2024 respectively. The entire budget was strategically split into the areas of human resource development, engineering, and infrastructure for the next generation of products.  </a:t>
          </a:r>
        </a:p>
        <a:p>
          <a:pPr marL="0" indent="0" algn="l"/>
          <a:r>
            <a:rPr lang="en-US" sz="1100" b="0" i="0" u="none" strike="noStrike">
              <a:solidFill>
                <a:srgbClr val="000000"/>
              </a:solidFill>
              <a:latin typeface="Aptos Narrow" panose="020B0004020202020204" pitchFamily="34" charset="0"/>
            </a:rPr>
            <a:t>Arm's selling, general, and administrative expenses have been a major but well-controlled expense item, they have been about $762M to $1,023M over the last five years. The spike in FY2023 is attributed to the company's IPO process. SG&amp;A has been consuming steadily 25-33% of Gross Profit, which indicates a very disciplined and high-cost structure that supports global marketing and administration for Arm's licensing business especially when it is growing and becoming more complex.</a:t>
          </a:r>
        </a:p>
      </xdr:txBody>
    </xdr:sp>
    <xdr:clientData/>
  </xdr:twoCellAnchor>
  <xdr:twoCellAnchor>
    <xdr:from>
      <xdr:col>17</xdr:col>
      <xdr:colOff>0</xdr:colOff>
      <xdr:row>49</xdr:row>
      <xdr:rowOff>123825</xdr:rowOff>
    </xdr:from>
    <xdr:to>
      <xdr:col>22</xdr:col>
      <xdr:colOff>571500</xdr:colOff>
      <xdr:row>57</xdr:row>
      <xdr:rowOff>0</xdr:rowOff>
    </xdr:to>
    <xdr:sp macro="" textlink="">
      <xdr:nvSpPr>
        <xdr:cNvPr id="27" name="TextBox 8">
          <a:extLst>
            <a:ext uri="{FF2B5EF4-FFF2-40B4-BE49-F238E27FC236}">
              <a16:creationId xmlns:a16="http://schemas.microsoft.com/office/drawing/2014/main" id="{C52213BD-111F-0693-CCE2-C824962E9531}"/>
            </a:ext>
            <a:ext uri="{147F2762-F138-4A5C-976F-8EAC2B608ADB}">
              <a16:predDERef xmlns:a16="http://schemas.microsoft.com/office/drawing/2014/main" pred="{62422436-ECB4-7E26-4C5F-31E92B634CB5}"/>
            </a:ext>
          </a:extLst>
        </xdr:cNvPr>
        <xdr:cNvSpPr txBox="1"/>
      </xdr:nvSpPr>
      <xdr:spPr>
        <a:xfrm>
          <a:off x="11744325" y="9163050"/>
          <a:ext cx="3476625" cy="1400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Profitability : Gross Profit Margin is consistently above 90 percent since the company uses the IP business model whereby the cost of revenue is very minimal after the product is developed and for R&amp;D they do not have external financing which gives them operating leverage over their competitors.</a:t>
          </a:r>
        </a:p>
      </xdr:txBody>
    </xdr:sp>
    <xdr:clientData/>
  </xdr:twoCellAnchor>
  <xdr:twoCellAnchor>
    <xdr:from>
      <xdr:col>24</xdr:col>
      <xdr:colOff>276225</xdr:colOff>
      <xdr:row>42</xdr:row>
      <xdr:rowOff>47625</xdr:rowOff>
    </xdr:from>
    <xdr:to>
      <xdr:col>30</xdr:col>
      <xdr:colOff>314325</xdr:colOff>
      <xdr:row>52</xdr:row>
      <xdr:rowOff>95250</xdr:rowOff>
    </xdr:to>
    <xdr:sp macro="" textlink="">
      <xdr:nvSpPr>
        <xdr:cNvPr id="8" name="TextBox 1">
          <a:extLst>
            <a:ext uri="{FF2B5EF4-FFF2-40B4-BE49-F238E27FC236}">
              <a16:creationId xmlns:a16="http://schemas.microsoft.com/office/drawing/2014/main" id="{B3AA6E83-BE49-DAE9-A2CA-01C0849A3E72}"/>
            </a:ext>
            <a:ext uri="{147F2762-F138-4A5C-976F-8EAC2B608ADB}">
              <a16:predDERef xmlns:a16="http://schemas.microsoft.com/office/drawing/2014/main" pred="{C52213BD-111F-0693-CCE2-C824962E9531}"/>
            </a:ext>
          </a:extLst>
        </xdr:cNvPr>
        <xdr:cNvSpPr txBox="1"/>
      </xdr:nvSpPr>
      <xdr:spPr>
        <a:xfrm>
          <a:off x="20850225" y="8248650"/>
          <a:ext cx="3524250" cy="19526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Price Maker or Taker ?...</a:t>
          </a:r>
          <a:r>
            <a:rPr lang="en-US" sz="1100">
              <a:latin typeface="+mn-lt"/>
              <a:ea typeface="+mn-lt"/>
              <a:cs typeface="+mn-lt"/>
            </a:rPr>
            <a:t>Being an ARM, a major price maker through its leading architecture and the entire ecosystem dependency which includes the chips, next-gen IP, etc., it only becomes a partial price taker in the extremely competitive or large-volume enterprise sectors like data centres, CPUs where companies such as Qualcomm, NVIDIA, and other major players have the upper hand in negotiations.</a:t>
          </a:r>
        </a:p>
      </xdr:txBody>
    </xdr:sp>
    <xdr:clientData/>
  </xdr:twoCellAnchor>
  <xdr:twoCellAnchor>
    <xdr:from>
      <xdr:col>25</xdr:col>
      <xdr:colOff>9525</xdr:colOff>
      <xdr:row>19</xdr:row>
      <xdr:rowOff>76200</xdr:rowOff>
    </xdr:from>
    <xdr:to>
      <xdr:col>31</xdr:col>
      <xdr:colOff>28575</xdr:colOff>
      <xdr:row>32</xdr:row>
      <xdr:rowOff>66675</xdr:rowOff>
    </xdr:to>
    <xdr:sp macro="" textlink="">
      <xdr:nvSpPr>
        <xdr:cNvPr id="30" name="TextBox 2">
          <a:extLst>
            <a:ext uri="{FF2B5EF4-FFF2-40B4-BE49-F238E27FC236}">
              <a16:creationId xmlns:a16="http://schemas.microsoft.com/office/drawing/2014/main" id="{70CCA310-7DA3-AC2B-6F5E-8446985E29C9}"/>
            </a:ext>
            <a:ext uri="{147F2762-F138-4A5C-976F-8EAC2B608ADB}">
              <a16:predDERef xmlns:a16="http://schemas.microsoft.com/office/drawing/2014/main" pred="{B3AA6E83-BE49-DAE9-A2CA-01C0849A3E72}"/>
            </a:ext>
          </a:extLst>
        </xdr:cNvPr>
        <xdr:cNvSpPr txBox="1"/>
      </xdr:nvSpPr>
      <xdr:spPr>
        <a:xfrm>
          <a:off x="21164550" y="3914775"/>
          <a:ext cx="3505200" cy="2457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Trend Analysis :</a:t>
          </a:r>
          <a:r>
            <a:rPr lang="en-US" sz="1100">
              <a:latin typeface="+mn-lt"/>
              <a:ea typeface="+mn-lt"/>
              <a:cs typeface="+mn-lt"/>
            </a:rPr>
            <a:t>.</a:t>
          </a:r>
          <a:r>
            <a:rPr lang="en-US" sz="1100" b="0" i="0" u="none" strike="noStrike">
              <a:solidFill>
                <a:srgbClr val="000000"/>
              </a:solidFill>
              <a:latin typeface="Aptos Narrow" panose="020B0004020202020204" pitchFamily="34" charset="0"/>
            </a:rPr>
            <a:t> Arm's sales have experienced a steady rise during the last five years, starting from approximately $2.03 billion and reaching more than $3.2 billion. This clearly shows that there is a strong demand for its chip designs.</a:t>
          </a: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On the other hand, Net Income has been extremely unpredictable, going through considerable changes each year. The main reason for this volatility is the non-core factors like major one-off accounting gains/losses related to its SoftBank ownership, the failed NVIDIA acquisition, and huge R&amp;D and share-based compensation costs just before its 2023 IPO.</a:t>
          </a:r>
        </a:p>
      </xdr:txBody>
    </xdr:sp>
    <xdr:clientData/>
  </xdr:twoCellAnchor>
  <xdr:twoCellAnchor>
    <xdr:from>
      <xdr:col>24</xdr:col>
      <xdr:colOff>247650</xdr:colOff>
      <xdr:row>63</xdr:row>
      <xdr:rowOff>180975</xdr:rowOff>
    </xdr:from>
    <xdr:to>
      <xdr:col>30</xdr:col>
      <xdr:colOff>285750</xdr:colOff>
      <xdr:row>77</xdr:row>
      <xdr:rowOff>152400</xdr:rowOff>
    </xdr:to>
    <xdr:sp macro="" textlink="">
      <xdr:nvSpPr>
        <xdr:cNvPr id="14" name="TextBox 8">
          <a:extLst>
            <a:ext uri="{FF2B5EF4-FFF2-40B4-BE49-F238E27FC236}">
              <a16:creationId xmlns:a16="http://schemas.microsoft.com/office/drawing/2014/main" id="{E34DD689-A20C-8F73-C7FD-7F98B2C33C29}"/>
            </a:ext>
            <a:ext uri="{147F2762-F138-4A5C-976F-8EAC2B608ADB}">
              <a16:predDERef xmlns:a16="http://schemas.microsoft.com/office/drawing/2014/main" pred="{70CCA310-7DA3-AC2B-6F5E-8446985E29C9}"/>
            </a:ext>
          </a:extLst>
        </xdr:cNvPr>
        <xdr:cNvSpPr txBox="1"/>
      </xdr:nvSpPr>
      <xdr:spPr>
        <a:xfrm>
          <a:off x="20821650" y="12382500"/>
          <a:ext cx="3524250" cy="26384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According to ARM's cash flows, the company is expected to have the largest amount of cash , but then the cash flow would considerably diminish . The operating cash increased very well</a:t>
          </a:r>
          <a:r>
            <a:rPr lang="en-US" sz="1100" b="0" i="0" u="none" strike="noStrike">
              <a:solidFill>
                <a:srgbClr val="000000"/>
              </a:solidFill>
              <a:latin typeface="Aptos Narrow" panose="020B0004020202020204" pitchFamily="34" charset="0"/>
            </a:rPr>
            <a:t> and then</a:t>
          </a:r>
          <a:r>
            <a:rPr lang="en-US" sz="1100">
              <a:latin typeface="+mn-lt"/>
              <a:ea typeface="+mn-lt"/>
              <a:cs typeface="+mn-lt"/>
            </a:rPr>
            <a:t> it fell as a result of the changing working capital and the tax costs. The investments were heavily taken out </a:t>
          </a:r>
          <a:r>
            <a:rPr lang="en-US" sz="1100" b="0" i="0" u="none" strike="noStrike">
              <a:solidFill>
                <a:srgbClr val="000000"/>
              </a:solidFill>
              <a:latin typeface="Aptos Narrow" panose="020B0004020202020204" pitchFamily="34" charset="0"/>
            </a:rPr>
            <a:t>and then again jumps back due to cancellation of deal with NVIDIA</a:t>
          </a:r>
          <a:r>
            <a:rPr lang="en-US" sz="1100">
              <a:latin typeface="+mn-lt"/>
              <a:ea typeface="+mn-lt"/>
              <a:cs typeface="+mn-lt"/>
            </a:rPr>
            <a:t>. The financing cash flows all through remained negative. Free cash flow underwent a rise </a:t>
          </a:r>
          <a:r>
            <a:rPr lang="en-US" sz="1100" b="0" i="0" u="none" strike="noStrike">
              <a:solidFill>
                <a:srgbClr val="000000"/>
              </a:solidFill>
              <a:latin typeface="Aptos Narrow" panose="020B0004020202020204" pitchFamily="34" charset="0"/>
            </a:rPr>
            <a:t>and</a:t>
          </a:r>
          <a:r>
            <a:rPr lang="en-US" sz="1100">
              <a:latin typeface="+mn-lt"/>
              <a:ea typeface="+mn-lt"/>
              <a:cs typeface="+mn-lt"/>
            </a:rPr>
            <a:t> then it fell drastically , the company showed very high volatility and the need to improve its cash conversion even if the sales were growing strongly.</a:t>
          </a:r>
        </a:p>
        <a:p>
          <a:pPr marL="0" indent="0" algn="l"/>
          <a:r>
            <a:rPr lang="en-US" sz="1100">
              <a:latin typeface="+mn-lt"/>
              <a:ea typeface="+mn-lt"/>
              <a:cs typeface="+mn-lt"/>
            </a:rPr>
            <a:t>The decline in FCF will put liquidity risk </a:t>
          </a:r>
          <a:r>
            <a:rPr lang="en-US" sz="1100" b="0" i="0" u="none" strike="noStrike">
              <a:solidFill>
                <a:srgbClr val="000000"/>
              </a:solidFill>
              <a:latin typeface="Aptos Narrow" panose="020B0004020202020204" pitchFamily="34" charset="0"/>
            </a:rPr>
            <a:t>as</a:t>
          </a:r>
          <a:r>
            <a:rPr lang="en-US" sz="1100">
              <a:latin typeface="+mn-lt"/>
              <a:ea typeface="+mn-lt"/>
              <a:cs typeface="+mn-lt"/>
            </a:rPr>
            <a:t> cash generation gets weaker  </a:t>
          </a:r>
          <a:r>
            <a:rPr lang="en-US" sz="1100" b="0" i="0" u="none" strike="noStrike">
              <a:solidFill>
                <a:srgbClr val="000000"/>
              </a:solidFill>
              <a:latin typeface="Aptos Narrow" panose="020B0004020202020204" pitchFamily="34" charset="0"/>
            </a:rPr>
            <a:t>leads to </a:t>
          </a:r>
          <a:r>
            <a:rPr lang="en-US" sz="1100">
              <a:latin typeface="+mn-lt"/>
              <a:ea typeface="+mn-lt"/>
              <a:cs typeface="+mn-lt"/>
            </a:rPr>
            <a:t>emerge</a:t>
          </a:r>
          <a:r>
            <a:rPr lang="en-US" sz="1100" b="0" i="0" u="none" strike="noStrike">
              <a:solidFill>
                <a:srgbClr val="000000"/>
              </a:solidFill>
              <a:latin typeface="Aptos Narrow" panose="020B0004020202020204" pitchFamily="34" charset="0"/>
            </a:rPr>
            <a:t>nce</a:t>
          </a:r>
          <a:r>
            <a:rPr lang="en-US" sz="1100">
              <a:latin typeface="+mn-lt"/>
              <a:ea typeface="+mn-lt"/>
              <a:cs typeface="+mn-lt"/>
            </a:rPr>
            <a:t> </a:t>
          </a:r>
          <a:r>
            <a:rPr lang="en-US" sz="1100" b="0" i="0" u="none" strike="noStrike">
              <a:solidFill>
                <a:srgbClr val="000000"/>
              </a:solidFill>
              <a:latin typeface="Aptos Narrow" panose="020B0004020202020204" pitchFamily="34" charset="0"/>
            </a:rPr>
            <a:t>of</a:t>
          </a:r>
          <a:r>
            <a:rPr lang="en-US" sz="1100">
              <a:latin typeface="+mn-lt"/>
              <a:ea typeface="+mn-lt"/>
              <a:cs typeface="+mn-lt"/>
            </a:rPr>
            <a:t> need for big investments.</a:t>
          </a:r>
        </a:p>
      </xdr:txBody>
    </xdr:sp>
    <xdr:clientData/>
  </xdr:twoCellAnchor>
  <xdr:twoCellAnchor>
    <xdr:from>
      <xdr:col>6</xdr:col>
      <xdr:colOff>447675</xdr:colOff>
      <xdr:row>48</xdr:row>
      <xdr:rowOff>19050</xdr:rowOff>
    </xdr:from>
    <xdr:to>
      <xdr:col>16</xdr:col>
      <xdr:colOff>38100</xdr:colOff>
      <xdr:row>60</xdr:row>
      <xdr:rowOff>19050</xdr:rowOff>
    </xdr:to>
    <xdr:graphicFrame macro="">
      <xdr:nvGraphicFramePr>
        <xdr:cNvPr id="9" name="Chart 4">
          <a:extLst>
            <a:ext uri="{FF2B5EF4-FFF2-40B4-BE49-F238E27FC236}">
              <a16:creationId xmlns:a16="http://schemas.microsoft.com/office/drawing/2014/main" id="{C213C368-C637-5124-AC57-FB7FBADA28CD}"/>
            </a:ext>
            <a:ext uri="{147F2762-F138-4A5C-976F-8EAC2B608ADB}">
              <a16:predDERef xmlns:a16="http://schemas.microsoft.com/office/drawing/2014/main" pred="{E34DD689-A20C-8F73-C7FD-7F98B2C33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19050</xdr:colOff>
      <xdr:row>2</xdr:row>
      <xdr:rowOff>161925</xdr:rowOff>
    </xdr:from>
    <xdr:to>
      <xdr:col>31</xdr:col>
      <xdr:colOff>200025</xdr:colOff>
      <xdr:row>13</xdr:row>
      <xdr:rowOff>133350</xdr:rowOff>
    </xdr:to>
    <xdr:sp macro="" textlink="">
      <xdr:nvSpPr>
        <xdr:cNvPr id="34" name="TextBox 3">
          <a:extLst>
            <a:ext uri="{FF2B5EF4-FFF2-40B4-BE49-F238E27FC236}">
              <a16:creationId xmlns:a16="http://schemas.microsoft.com/office/drawing/2014/main" id="{4B45CBE9-6F9D-5DD9-F5E5-486C3917481C}"/>
            </a:ext>
            <a:ext uri="{147F2762-F138-4A5C-976F-8EAC2B608ADB}">
              <a16:predDERef xmlns:a16="http://schemas.microsoft.com/office/drawing/2014/main" pred="{C213C368-C637-5124-AC57-FB7FBADA28CD}"/>
            </a:ext>
          </a:extLst>
        </xdr:cNvPr>
        <xdr:cNvSpPr txBox="1"/>
      </xdr:nvSpPr>
      <xdr:spPr>
        <a:xfrm>
          <a:off x="21174075" y="657225"/>
          <a:ext cx="3667125" cy="20669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Diversification Plan :</a:t>
          </a:r>
          <a:r>
            <a:rPr lang="en-US" sz="1100">
              <a:latin typeface="+mn-lt"/>
              <a:ea typeface="+mn-lt"/>
              <a:cs typeface="+mn-lt"/>
            </a:rPr>
            <a:t>The increasing Capital Expenditure indicates that Arm is making investments with the expectation of growth, that is, through the use of an asset-light model, developing the infrastructure, and setting up for more daring long-term objectives. This pattern points to Arm's preparation for wider movements such as acquiring more tools, possibly going into nearby markets, or catering to the increased demand from data centers/AI workloads. An example of this is Arm and Nividia collaboration in which they design AI data center systems that effortlessly combine NVIDIA GPUs with Arm-based CPUs.</a:t>
          </a:r>
        </a:p>
      </xdr:txBody>
    </xdr:sp>
    <xdr:clientData/>
  </xdr:twoCellAnchor>
  <xdr:twoCellAnchor>
    <xdr:from>
      <xdr:col>16</xdr:col>
      <xdr:colOff>552450</xdr:colOff>
      <xdr:row>60</xdr:row>
      <xdr:rowOff>9525</xdr:rowOff>
    </xdr:from>
    <xdr:to>
      <xdr:col>23</xdr:col>
      <xdr:colOff>0</xdr:colOff>
      <xdr:row>70</xdr:row>
      <xdr:rowOff>114300</xdr:rowOff>
    </xdr:to>
    <xdr:sp macro="" textlink="">
      <xdr:nvSpPr>
        <xdr:cNvPr id="35" name="TextBox 10">
          <a:extLst>
            <a:ext uri="{FF2B5EF4-FFF2-40B4-BE49-F238E27FC236}">
              <a16:creationId xmlns:a16="http://schemas.microsoft.com/office/drawing/2014/main" id="{1BCA2182-F73F-49F5-B337-D89711D5FDCF}"/>
            </a:ext>
            <a:ext uri="{147F2762-F138-4A5C-976F-8EAC2B608ADB}">
              <a16:predDERef xmlns:a16="http://schemas.microsoft.com/office/drawing/2014/main" pred="{4B45CBE9-6F9D-5DD9-F5E5-486C3917481C}"/>
            </a:ext>
          </a:extLst>
        </xdr:cNvPr>
        <xdr:cNvSpPr txBox="1"/>
      </xdr:nvSpPr>
      <xdr:spPr>
        <a:xfrm>
          <a:off x="16478250" y="11106150"/>
          <a:ext cx="3514725" cy="19145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For ARM, their Royalty Revenue increase with the new IP adoption of ARMV9, Neuroverse, etc. during 2024-2025, and also it will be accompanied by an increase in chip volumes and prices.</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Licensing and other Revenue increases from 2023-2025 will be a result of lucrative Total Access deals, expanding subscription licensing, strong AI-driven demand for advanced Armv9 IP, and timing of large agreements that will be beneficial for reported revenue.</a:t>
          </a:r>
        </a:p>
      </xdr:txBody>
    </xdr:sp>
    <xdr:clientData/>
  </xdr:twoCellAnchor>
  <xdr:twoCellAnchor>
    <xdr:from>
      <xdr:col>16</xdr:col>
      <xdr:colOff>561975</xdr:colOff>
      <xdr:row>70</xdr:row>
      <xdr:rowOff>76200</xdr:rowOff>
    </xdr:from>
    <xdr:to>
      <xdr:col>23</xdr:col>
      <xdr:colOff>0</xdr:colOff>
      <xdr:row>79</xdr:row>
      <xdr:rowOff>133350</xdr:rowOff>
    </xdr:to>
    <xdr:sp macro="" textlink="">
      <xdr:nvSpPr>
        <xdr:cNvPr id="36" name="TextBox 11">
          <a:extLst>
            <a:ext uri="{FF2B5EF4-FFF2-40B4-BE49-F238E27FC236}">
              <a16:creationId xmlns:a16="http://schemas.microsoft.com/office/drawing/2014/main" id="{098EA1A4-1B3A-4121-9F52-4E4D5451F603}"/>
            </a:ext>
            <a:ext uri="{147F2762-F138-4A5C-976F-8EAC2B608ADB}">
              <a16:predDERef xmlns:a16="http://schemas.microsoft.com/office/drawing/2014/main" pred="{1BCA2182-F73F-49F5-B337-D89711D5FDCF}"/>
            </a:ext>
          </a:extLst>
        </xdr:cNvPr>
        <xdr:cNvSpPr txBox="1"/>
      </xdr:nvSpPr>
      <xdr:spPr>
        <a:xfrm>
          <a:off x="16487775" y="12982575"/>
          <a:ext cx="3505200" cy="16859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Volatility</a:t>
          </a:r>
        </a:p>
        <a:p>
          <a:pPr marL="0" indent="0" algn="l"/>
          <a:r>
            <a:rPr lang="en-US" sz="1100" b="0" i="0" u="none" strike="noStrike">
              <a:solidFill>
                <a:srgbClr val="000000"/>
              </a:solidFill>
              <a:latin typeface="Aptos Narrow" panose="020B0004020202020204" pitchFamily="34" charset="0"/>
            </a:rPr>
            <a:t>The licensing revenue of Arm fluctuates severely as it mainly depends on a few large contracts, whereas royalties are received after a delay of 2–3 years. Furthermore, the development depends on the continued high demand for AI, the stable condition of chip markets, and the competition which, in particular, the growing RISC-V alternatives could make a pressure on the future licensing rise.</a:t>
          </a:r>
        </a:p>
      </xdr:txBody>
    </xdr:sp>
    <xdr:clientData/>
  </xdr:twoCellAnchor>
  <xdr:twoCellAnchor>
    <xdr:from>
      <xdr:col>7</xdr:col>
      <xdr:colOff>0</xdr:colOff>
      <xdr:row>62</xdr:row>
      <xdr:rowOff>38100</xdr:rowOff>
    </xdr:from>
    <xdr:to>
      <xdr:col>16</xdr:col>
      <xdr:colOff>19050</xdr:colOff>
      <xdr:row>78</xdr:row>
      <xdr:rowOff>57150</xdr:rowOff>
    </xdr:to>
    <xdr:graphicFrame macro="">
      <xdr:nvGraphicFramePr>
        <xdr:cNvPr id="40" name="Chart 14">
          <a:extLst>
            <a:ext uri="{FF2B5EF4-FFF2-40B4-BE49-F238E27FC236}">
              <a16:creationId xmlns:a16="http://schemas.microsoft.com/office/drawing/2014/main" id="{B18F2AEF-BF8B-693E-F3DA-76C26FC7AB07}"/>
            </a:ext>
            <a:ext uri="{147F2762-F138-4A5C-976F-8EAC2B608ADB}">
              <a16:predDERef xmlns:a16="http://schemas.microsoft.com/office/drawing/2014/main" pred="{098EA1A4-1B3A-4121-9F52-4E4D5451F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32</xdr:col>
      <xdr:colOff>19050</xdr:colOff>
      <xdr:row>0</xdr:row>
      <xdr:rowOff>390525</xdr:rowOff>
    </xdr:from>
    <xdr:to>
      <xdr:col>41</xdr:col>
      <xdr:colOff>38100</xdr:colOff>
      <xdr:row>14</xdr:row>
      <xdr:rowOff>17145</xdr:rowOff>
    </xdr:to>
    <xdr:pic>
      <xdr:nvPicPr>
        <xdr:cNvPr id="5" name="Picture 4">
          <a:extLst>
            <a:ext uri="{FF2B5EF4-FFF2-40B4-BE49-F238E27FC236}">
              <a16:creationId xmlns:a16="http://schemas.microsoft.com/office/drawing/2014/main" id="{16808307-4946-D41A-2AFF-9813DD69D884}"/>
            </a:ext>
            <a:ext uri="{147F2762-F138-4A5C-976F-8EAC2B608ADB}">
              <a16:predDERef xmlns:a16="http://schemas.microsoft.com/office/drawing/2014/main" pred="{B18F2AEF-BF8B-693E-F3DA-76C26FC7AB07}"/>
            </a:ext>
          </a:extLst>
        </xdr:cNvPr>
        <xdr:cNvPicPr>
          <a:picLocks noChangeAspect="1"/>
        </xdr:cNvPicPr>
      </xdr:nvPicPr>
      <xdr:blipFill>
        <a:blip xmlns:r="http://schemas.openxmlformats.org/officeDocument/2006/relationships" r:embed="rId3"/>
        <a:stretch>
          <a:fillRect/>
        </a:stretch>
      </xdr:blipFill>
      <xdr:spPr>
        <a:xfrm>
          <a:off x="25241250" y="390525"/>
          <a:ext cx="5248275" cy="2398395"/>
        </a:xfrm>
        <a:prstGeom prst="rect">
          <a:avLst/>
        </a:prstGeom>
      </xdr:spPr>
    </xdr:pic>
    <xdr:clientData/>
  </xdr:twoCellAnchor>
  <xdr:twoCellAnchor>
    <xdr:from>
      <xdr:col>7</xdr:col>
      <xdr:colOff>0</xdr:colOff>
      <xdr:row>30</xdr:row>
      <xdr:rowOff>161925</xdr:rowOff>
    </xdr:from>
    <xdr:to>
      <xdr:col>16</xdr:col>
      <xdr:colOff>19050</xdr:colOff>
      <xdr:row>46</xdr:row>
      <xdr:rowOff>57150</xdr:rowOff>
    </xdr:to>
    <xdr:graphicFrame macro="">
      <xdr:nvGraphicFramePr>
        <xdr:cNvPr id="6" name="Chart 9">
          <a:extLst>
            <a:ext uri="{FF2B5EF4-FFF2-40B4-BE49-F238E27FC236}">
              <a16:creationId xmlns:a16="http://schemas.microsoft.com/office/drawing/2014/main" id="{FCCFA492-D18F-8983-6C72-4BB9B11048C4}"/>
            </a:ext>
            <a:ext uri="{147F2762-F138-4A5C-976F-8EAC2B608ADB}">
              <a16:predDERef xmlns:a16="http://schemas.microsoft.com/office/drawing/2014/main" pred="{16808307-4946-D41A-2AFF-9813DD69D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xdr:row>
      <xdr:rowOff>57150</xdr:rowOff>
    </xdr:from>
    <xdr:to>
      <xdr:col>16</xdr:col>
      <xdr:colOff>0</xdr:colOff>
      <xdr:row>14</xdr:row>
      <xdr:rowOff>95250</xdr:rowOff>
    </xdr:to>
    <mc:AlternateContent xmlns:mc="http://schemas.openxmlformats.org/markup-compatibility/2006">
      <mc:Choice xmlns:cx1="http://schemas.microsoft.com/office/drawing/2015/9/8/chartex" Requires="cx1">
        <xdr:graphicFrame macro="">
          <xdr:nvGraphicFramePr>
            <xdr:cNvPr id="15" name="Chart 3">
              <a:extLst>
                <a:ext uri="{FF2B5EF4-FFF2-40B4-BE49-F238E27FC236}">
                  <a16:creationId xmlns:a16="http://schemas.microsoft.com/office/drawing/2014/main" id="{A5FD3041-4A15-49F1-09DE-68C97A4119E5}"/>
                </a:ext>
                <a:ext uri="{147F2762-F138-4A5C-976F-8EAC2B608ADB}">
                  <a16:predDERef xmlns:a16="http://schemas.microsoft.com/office/drawing/2014/main" pred="{FCCFA492-D18F-8983-6C72-4BB9B11048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17400" y="488950"/>
              <a:ext cx="5943600" cy="2514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552450</xdr:colOff>
      <xdr:row>15</xdr:row>
      <xdr:rowOff>104775</xdr:rowOff>
    </xdr:from>
    <xdr:to>
      <xdr:col>16</xdr:col>
      <xdr:colOff>0</xdr:colOff>
      <xdr:row>30</xdr:row>
      <xdr:rowOff>19050</xdr:rowOff>
    </xdr:to>
    <xdr:graphicFrame macro="">
      <xdr:nvGraphicFramePr>
        <xdr:cNvPr id="7" name="Chart 6">
          <a:extLst>
            <a:ext uri="{FF2B5EF4-FFF2-40B4-BE49-F238E27FC236}">
              <a16:creationId xmlns:a16="http://schemas.microsoft.com/office/drawing/2014/main" id="{7E396722-B65E-A89D-599D-7D08DA6E67E6}"/>
            </a:ext>
            <a:ext uri="{147F2762-F138-4A5C-976F-8EAC2B608ADB}">
              <a16:predDERef xmlns:a16="http://schemas.microsoft.com/office/drawing/2014/main" pred="{A5FD3041-4A15-49F1-09DE-68C97A411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9525</xdr:colOff>
      <xdr:row>60</xdr:row>
      <xdr:rowOff>161925</xdr:rowOff>
    </xdr:from>
    <xdr:to>
      <xdr:col>41</xdr:col>
      <xdr:colOff>57150</xdr:colOff>
      <xdr:row>79</xdr:row>
      <xdr:rowOff>9525</xdr:rowOff>
    </xdr:to>
    <xdr:graphicFrame macro="">
      <xdr:nvGraphicFramePr>
        <xdr:cNvPr id="12" name="Chart 1">
          <a:extLst>
            <a:ext uri="{FF2B5EF4-FFF2-40B4-BE49-F238E27FC236}">
              <a16:creationId xmlns:a16="http://schemas.microsoft.com/office/drawing/2014/main" id="{93D612F8-1262-0328-4C40-C34CFE01AAC6}"/>
            </a:ext>
            <a:ext uri="{147F2762-F138-4A5C-976F-8EAC2B608ADB}">
              <a16:predDERef xmlns:a16="http://schemas.microsoft.com/office/drawing/2014/main" pred="{7E396722-B65E-A89D-599D-7D08DA6E6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571500</xdr:colOff>
      <xdr:row>16</xdr:row>
      <xdr:rowOff>142875</xdr:rowOff>
    </xdr:from>
    <xdr:to>
      <xdr:col>40</xdr:col>
      <xdr:colOff>571500</xdr:colOff>
      <xdr:row>36</xdr:row>
      <xdr:rowOff>152400</xdr:rowOff>
    </xdr:to>
    <xdr:graphicFrame macro="">
      <xdr:nvGraphicFramePr>
        <xdr:cNvPr id="28" name="Chart 98">
          <a:extLst>
            <a:ext uri="{FF2B5EF4-FFF2-40B4-BE49-F238E27FC236}">
              <a16:creationId xmlns:a16="http://schemas.microsoft.com/office/drawing/2014/main" id="{B2BB2F6B-8DB8-F66B-8AF2-4395C1609F3F}"/>
            </a:ext>
            <a:ext uri="{147F2762-F138-4A5C-976F-8EAC2B608ADB}">
              <a16:predDERef xmlns:a16="http://schemas.microsoft.com/office/drawing/2014/main" pred="{93D612F8-1262-0328-4C40-C34CFE01A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9525</xdr:colOff>
      <xdr:row>41</xdr:row>
      <xdr:rowOff>38100</xdr:rowOff>
    </xdr:from>
    <xdr:to>
      <xdr:col>41</xdr:col>
      <xdr:colOff>47625</xdr:colOff>
      <xdr:row>55</xdr:row>
      <xdr:rowOff>161925</xdr:rowOff>
    </xdr:to>
    <xdr:graphicFrame macro="">
      <xdr:nvGraphicFramePr>
        <xdr:cNvPr id="11" name="Chart 7">
          <a:extLst>
            <a:ext uri="{FF2B5EF4-FFF2-40B4-BE49-F238E27FC236}">
              <a16:creationId xmlns:a16="http://schemas.microsoft.com/office/drawing/2014/main" id="{3F45B763-7F3A-C64B-4599-181D002175C9}"/>
            </a:ext>
            <a:ext uri="{147F2762-F138-4A5C-976F-8EAC2B608ADB}">
              <a16:predDERef xmlns:a16="http://schemas.microsoft.com/office/drawing/2014/main" pred="{B2BB2F6B-8DB8-F66B-8AF2-4395C1609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86</xdr:row>
      <xdr:rowOff>0</xdr:rowOff>
    </xdr:from>
    <xdr:to>
      <xdr:col>4</xdr:col>
      <xdr:colOff>1193766</xdr:colOff>
      <xdr:row>97</xdr:row>
      <xdr:rowOff>54362</xdr:rowOff>
    </xdr:to>
    <xdr:sp macro="" textlink="">
      <xdr:nvSpPr>
        <xdr:cNvPr id="2" name="TextBox 7">
          <a:extLst>
            <a:ext uri="{FF2B5EF4-FFF2-40B4-BE49-F238E27FC236}">
              <a16:creationId xmlns:a16="http://schemas.microsoft.com/office/drawing/2014/main" id="{9BD49E00-448A-E745-A528-8F4BE14517CC}"/>
            </a:ext>
            <a:ext uri="{147F2762-F138-4A5C-976F-8EAC2B608ADB}">
              <a16:predDERef xmlns:a16="http://schemas.microsoft.com/office/drawing/2014/main" pred="{88083832-C0BF-D551-7F88-8BC3EDC00D8B}"/>
            </a:ext>
          </a:extLst>
        </xdr:cNvPr>
        <xdr:cNvSpPr txBox="1"/>
      </xdr:nvSpPr>
      <xdr:spPr>
        <a:xfrm>
          <a:off x="0" y="17602200"/>
          <a:ext cx="9245566" cy="2289562"/>
        </a:xfrm>
        <a:prstGeom prst="rect">
          <a:avLst/>
        </a:prstGeom>
        <a:solidFill>
          <a:schemeClr val="bg1"/>
        </a:solidFill>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References:</a:t>
          </a:r>
          <a:r>
            <a:rPr lang="en-US" sz="1100" b="1" i="0" u="none" strike="noStrike" baseline="0">
              <a:solidFill>
                <a:srgbClr val="000000"/>
              </a:solidFill>
              <a:latin typeface="Aptos Narrow" panose="020B0004020202020204" pitchFamily="34" charset="0"/>
            </a:rPr>
            <a:t> </a:t>
          </a:r>
        </a:p>
        <a:p>
          <a:r>
            <a:rPr lang="en-IN" sz="1100" b="0" i="0" u="none" strike="noStrike">
              <a:solidFill>
                <a:schemeClr val="dk1"/>
              </a:solidFill>
              <a:effectLst/>
              <a:latin typeface="+mn-lt"/>
              <a:ea typeface="+mn-ea"/>
              <a:cs typeface="+mn-cs"/>
            </a:rPr>
            <a:t>ARM (2024) 2024 Annual Report. Available at:https://investors.arm.com/static-files/dcdd6629-24bb-40ef-ba55-8aca1362205a (Accessed: 10 November 2025).</a:t>
          </a:r>
        </a:p>
        <a:p>
          <a:r>
            <a:rPr lang="en-IN" sz="1100" b="0" i="0" u="none" strike="noStrike">
              <a:solidFill>
                <a:schemeClr val="dk1"/>
              </a:solidFill>
              <a:effectLst/>
              <a:latin typeface="+mn-lt"/>
              <a:ea typeface="+mn-ea"/>
              <a:cs typeface="+mn-cs"/>
            </a:rPr>
            <a:t>ARM (2023) 2023 Annual Report. Available at: https://investors.arm.com/static-files/dcdd6629-24bb-40ef-ba55-8aca1362205a (Accessed: 11 November 2025).</a:t>
          </a:r>
        </a:p>
        <a:p>
          <a:r>
            <a:rPr lang="en-IN" sz="1100" b="0" i="0" u="none" strike="noStrike">
              <a:solidFill>
                <a:schemeClr val="dk1"/>
              </a:solidFill>
              <a:effectLst/>
              <a:latin typeface="+mn-lt"/>
              <a:ea typeface="+mn-ea"/>
              <a:cs typeface="+mn-cs"/>
            </a:rPr>
            <a:t>ARM (2022) 2022 Annual Report. Available at: https://www.sec.gov/Archives/edgar/data/1973239/000119312523216983/d393891df1.htm (Accessed: 11 November 2025).</a:t>
          </a:r>
        </a:p>
        <a:p>
          <a:r>
            <a:rPr lang="en-IN" sz="1100" b="0" i="0" u="none" strike="noStrike">
              <a:solidFill>
                <a:schemeClr val="dk1"/>
              </a:solidFill>
              <a:effectLst/>
              <a:latin typeface="+mn-lt"/>
              <a:ea typeface="+mn-ea"/>
              <a:cs typeface="+mn-cs"/>
            </a:rPr>
            <a:t>ARM (2021) 2021 Annual Report. Available at: https://www.sec.gov/Archives/edgar/data/1973239/000119312523216983/d393891df1.htm (Accessed: 12 November 2025).</a:t>
          </a:r>
        </a:p>
        <a:p>
          <a:r>
            <a:rPr lang="en-IN" sz="1100" b="0" i="0" u="none" strike="noStrike">
              <a:solidFill>
                <a:schemeClr val="dk1"/>
              </a:solidFill>
              <a:effectLst/>
              <a:latin typeface="+mn-lt"/>
              <a:ea typeface="+mn-ea"/>
              <a:cs typeface="+mn-cs"/>
            </a:rPr>
            <a:t>ARM (2020) 2020 Annual Report. Available at: https://www.sec.gov/Archives/edgar/data/1973239/000119312523216983/d393891df1.htm (Accessed: 12 November 2025).</a:t>
          </a:r>
        </a:p>
        <a:p>
          <a:pPr marL="0" indent="0" algn="ctr"/>
          <a:endParaRPr lang="en-US" sz="1100" b="0" i="0" u="none" strike="noStrike">
            <a:solidFill>
              <a:srgbClr val="000000"/>
            </a:solidFill>
            <a:latin typeface="Aptos Narrow" panose="020B00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571500</xdr:colOff>
      <xdr:row>1</xdr:row>
      <xdr:rowOff>0</xdr:rowOff>
    </xdr:from>
    <xdr:to>
      <xdr:col>12</xdr:col>
      <xdr:colOff>571500</xdr:colOff>
      <xdr:row>10</xdr:row>
      <xdr:rowOff>180975</xdr:rowOff>
    </xdr:to>
    <xdr:graphicFrame macro="">
      <xdr:nvGraphicFramePr>
        <xdr:cNvPr id="21" name="圖表 1">
          <a:extLst>
            <a:ext uri="{FF2B5EF4-FFF2-40B4-BE49-F238E27FC236}">
              <a16:creationId xmlns:a16="http://schemas.microsoft.com/office/drawing/2014/main" id="{31B78B53-BCA6-1093-AB17-A2BA55AFA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12</xdr:col>
      <xdr:colOff>561975</xdr:colOff>
      <xdr:row>31</xdr:row>
      <xdr:rowOff>19050</xdr:rowOff>
    </xdr:to>
    <xdr:graphicFrame macro="">
      <xdr:nvGraphicFramePr>
        <xdr:cNvPr id="32" name="圖表 2">
          <a:extLst>
            <a:ext uri="{FF2B5EF4-FFF2-40B4-BE49-F238E27FC236}">
              <a16:creationId xmlns:a16="http://schemas.microsoft.com/office/drawing/2014/main" id="{A48C4713-41A5-756E-FBDA-FE2E565290DB}"/>
            </a:ext>
            <a:ext uri="{147F2762-F138-4A5C-976F-8EAC2B608ADB}">
              <a16:predDERef xmlns:a16="http://schemas.microsoft.com/office/drawing/2014/main" pred="{31B78B53-BCA6-1093-AB17-A2BA55AFA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41</xdr:row>
      <xdr:rowOff>114300</xdr:rowOff>
    </xdr:from>
    <xdr:to>
      <xdr:col>13</xdr:col>
      <xdr:colOff>19050</xdr:colOff>
      <xdr:row>51</xdr:row>
      <xdr:rowOff>133350</xdr:rowOff>
    </xdr:to>
    <xdr:graphicFrame macro="">
      <xdr:nvGraphicFramePr>
        <xdr:cNvPr id="36" name="圖表 3">
          <a:extLst>
            <a:ext uri="{FF2B5EF4-FFF2-40B4-BE49-F238E27FC236}">
              <a16:creationId xmlns:a16="http://schemas.microsoft.com/office/drawing/2014/main" id="{0CBC91FD-CE2B-65E0-9247-4A42665601D5}"/>
            </a:ext>
            <a:ext uri="{147F2762-F138-4A5C-976F-8EAC2B608ADB}">
              <a16:predDERef xmlns:a16="http://schemas.microsoft.com/office/drawing/2014/main" pred="{A48C4713-41A5-756E-FBDA-FE2E56529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xdr:colOff>
      <xdr:row>1</xdr:row>
      <xdr:rowOff>0</xdr:rowOff>
    </xdr:from>
    <xdr:to>
      <xdr:col>20</xdr:col>
      <xdr:colOff>571500</xdr:colOff>
      <xdr:row>12</xdr:row>
      <xdr:rowOff>152400</xdr:rowOff>
    </xdr:to>
    <xdr:graphicFrame macro="">
      <xdr:nvGraphicFramePr>
        <xdr:cNvPr id="17" name="圖表 5">
          <a:extLst>
            <a:ext uri="{FF2B5EF4-FFF2-40B4-BE49-F238E27FC236}">
              <a16:creationId xmlns:a16="http://schemas.microsoft.com/office/drawing/2014/main" id="{7006DB0C-92EA-4712-2370-80372EB37178}"/>
            </a:ext>
            <a:ext uri="{147F2762-F138-4A5C-976F-8EAC2B608ADB}">
              <a16:predDERef xmlns:a16="http://schemas.microsoft.com/office/drawing/2014/main" pred="{0CBC91FD-CE2B-65E0-9247-4A4266560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46</xdr:row>
      <xdr:rowOff>85725</xdr:rowOff>
    </xdr:from>
    <xdr:to>
      <xdr:col>20</xdr:col>
      <xdr:colOff>571500</xdr:colOff>
      <xdr:row>57</xdr:row>
      <xdr:rowOff>47625</xdr:rowOff>
    </xdr:to>
    <xdr:graphicFrame macro="">
      <xdr:nvGraphicFramePr>
        <xdr:cNvPr id="5" name="圖表 4">
          <a:extLst>
            <a:ext uri="{FF2B5EF4-FFF2-40B4-BE49-F238E27FC236}">
              <a16:creationId xmlns:a16="http://schemas.microsoft.com/office/drawing/2014/main" id="{86C7F874-5BFA-302A-798C-3FE3A262A990}"/>
            </a:ext>
            <a:ext uri="{147F2762-F138-4A5C-976F-8EAC2B608ADB}">
              <a16:predDERef xmlns:a16="http://schemas.microsoft.com/office/drawing/2014/main" pred="{7006DB0C-92EA-4712-2370-80372EB37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20</xdr:row>
      <xdr:rowOff>9525</xdr:rowOff>
    </xdr:from>
    <xdr:to>
      <xdr:col>29</xdr:col>
      <xdr:colOff>0</xdr:colOff>
      <xdr:row>34</xdr:row>
      <xdr:rowOff>47625</xdr:rowOff>
    </xdr:to>
    <xdr:graphicFrame macro="">
      <xdr:nvGraphicFramePr>
        <xdr:cNvPr id="24" name="圖表 7">
          <a:extLst>
            <a:ext uri="{FF2B5EF4-FFF2-40B4-BE49-F238E27FC236}">
              <a16:creationId xmlns:a16="http://schemas.microsoft.com/office/drawing/2014/main" id="{C608D8B1-51B8-4097-2BA7-0042C84698B3}"/>
            </a:ext>
            <a:ext uri="{147F2762-F138-4A5C-976F-8EAC2B608ADB}">
              <a16:predDERef xmlns:a16="http://schemas.microsoft.com/office/drawing/2014/main" pred="{86C7F874-5BFA-302A-798C-3FE3A262A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0</xdr:colOff>
      <xdr:row>41</xdr:row>
      <xdr:rowOff>9525</xdr:rowOff>
    </xdr:from>
    <xdr:to>
      <xdr:col>28</xdr:col>
      <xdr:colOff>571500</xdr:colOff>
      <xdr:row>54</xdr:row>
      <xdr:rowOff>152400</xdr:rowOff>
    </xdr:to>
    <xdr:graphicFrame macro="">
      <xdr:nvGraphicFramePr>
        <xdr:cNvPr id="20" name="圖表 11">
          <a:extLst>
            <a:ext uri="{FF2B5EF4-FFF2-40B4-BE49-F238E27FC236}">
              <a16:creationId xmlns:a16="http://schemas.microsoft.com/office/drawing/2014/main" id="{4115E106-CD13-26D1-DC4F-15BFFFD627EE}"/>
            </a:ext>
            <a:ext uri="{147F2762-F138-4A5C-976F-8EAC2B608ADB}">
              <a16:predDERef xmlns:a16="http://schemas.microsoft.com/office/drawing/2014/main" pred="{C608D8B1-51B8-4097-2BA7-0042C8469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24</xdr:row>
      <xdr:rowOff>0</xdr:rowOff>
    </xdr:from>
    <xdr:to>
      <xdr:col>21</xdr:col>
      <xdr:colOff>0</xdr:colOff>
      <xdr:row>35</xdr:row>
      <xdr:rowOff>171450</xdr:rowOff>
    </xdr:to>
    <xdr:graphicFrame macro="">
      <xdr:nvGraphicFramePr>
        <xdr:cNvPr id="13" name="圖表 6">
          <a:extLst>
            <a:ext uri="{FF2B5EF4-FFF2-40B4-BE49-F238E27FC236}">
              <a16:creationId xmlns:a16="http://schemas.microsoft.com/office/drawing/2014/main" id="{6BE1CFC0-6CF9-490E-17B0-A5614D9B0AF5}"/>
            </a:ext>
            <a:ext uri="{147F2762-F138-4A5C-976F-8EAC2B608ADB}">
              <a16:predDERef xmlns:a16="http://schemas.microsoft.com/office/drawing/2014/main" pred="{4115E106-CD13-26D1-DC4F-15BFFFD62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9525</xdr:colOff>
      <xdr:row>1</xdr:row>
      <xdr:rowOff>0</xdr:rowOff>
    </xdr:from>
    <xdr:to>
      <xdr:col>28</xdr:col>
      <xdr:colOff>561975</xdr:colOff>
      <xdr:row>12</xdr:row>
      <xdr:rowOff>161925</xdr:rowOff>
    </xdr:to>
    <xdr:graphicFrame macro="">
      <xdr:nvGraphicFramePr>
        <xdr:cNvPr id="14" name="圖表 11">
          <a:extLst>
            <a:ext uri="{FF2B5EF4-FFF2-40B4-BE49-F238E27FC236}">
              <a16:creationId xmlns:a16="http://schemas.microsoft.com/office/drawing/2014/main" id="{DC7282DB-D7CD-85D4-7F5A-138B2E658DDD}"/>
            </a:ext>
            <a:ext uri="{147F2762-F138-4A5C-976F-8EAC2B608ADB}">
              <a16:predDERef xmlns:a16="http://schemas.microsoft.com/office/drawing/2014/main" pred="{6BE1CFC0-6CF9-490E-17B0-A5614D9B0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0</xdr:colOff>
      <xdr:row>60</xdr:row>
      <xdr:rowOff>161925</xdr:rowOff>
    </xdr:from>
    <xdr:to>
      <xdr:col>28</xdr:col>
      <xdr:colOff>571500</xdr:colOff>
      <xdr:row>75</xdr:row>
      <xdr:rowOff>142875</xdr:rowOff>
    </xdr:to>
    <xdr:graphicFrame macro="">
      <xdr:nvGraphicFramePr>
        <xdr:cNvPr id="77" name="圖表 15">
          <a:extLst>
            <a:ext uri="{FF2B5EF4-FFF2-40B4-BE49-F238E27FC236}">
              <a16:creationId xmlns:a16="http://schemas.microsoft.com/office/drawing/2014/main" id="{52A4C15F-E2FD-2C98-762A-C032F2A31578}"/>
            </a:ext>
            <a:ext uri="{147F2762-F138-4A5C-976F-8EAC2B608ADB}">
              <a16:predDERef xmlns:a16="http://schemas.microsoft.com/office/drawing/2014/main" pred="{DC7282DB-D7CD-85D4-7F5A-138B2E658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9525</xdr:colOff>
      <xdr:row>11</xdr:row>
      <xdr:rowOff>85725</xdr:rowOff>
    </xdr:from>
    <xdr:to>
      <xdr:col>12</xdr:col>
      <xdr:colOff>571500</xdr:colOff>
      <xdr:row>20</xdr:row>
      <xdr:rowOff>114300</xdr:rowOff>
    </xdr:to>
    <xdr:sp macro="" textlink="">
      <xdr:nvSpPr>
        <xdr:cNvPr id="93" name="文字方塊 1">
          <a:extLst>
            <a:ext uri="{FF2B5EF4-FFF2-40B4-BE49-F238E27FC236}">
              <a16:creationId xmlns:a16="http://schemas.microsoft.com/office/drawing/2014/main" id="{310E2BED-4340-EBF9-E858-D7A63B00E6E2}"/>
            </a:ext>
            <a:ext uri="{147F2762-F138-4A5C-976F-8EAC2B608ADB}">
              <a16:predDERef xmlns:a16="http://schemas.microsoft.com/office/drawing/2014/main" pred="{52A4C15F-E2FD-2C98-762A-C032F2A31578}"/>
            </a:ext>
          </a:extLst>
        </xdr:cNvPr>
        <xdr:cNvSpPr txBox="1"/>
      </xdr:nvSpPr>
      <xdr:spPr>
        <a:xfrm>
          <a:off x="8124825" y="1895475"/>
          <a:ext cx="3467100" cy="16573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b="0" i="0">
              <a:latin typeface="Amasis MT Pro" panose="02040504050005020304" pitchFamily="18" charset="0"/>
            </a:rPr>
            <a:t>F</a:t>
          </a:r>
          <a:r>
            <a:rPr lang="en-US" sz="1000" b="0" i="0" u="none" strike="noStrike">
              <a:solidFill>
                <a:srgbClr val="000000"/>
              </a:solidFill>
              <a:latin typeface="Amasis MT Pro" panose="02040504050005020304" pitchFamily="18" charset="0"/>
            </a:rPr>
            <a:t>rom </a:t>
          </a:r>
          <a:r>
            <a:rPr lang="en-US" sz="1000" b="0" i="0">
              <a:latin typeface="Amasis MT Pro" panose="02040504050005020304" pitchFamily="18" charset="0"/>
            </a:rPr>
            <a:t>202</a:t>
          </a:r>
          <a:r>
            <a:rPr lang="en-US" sz="1000" b="0" i="0" u="none" strike="noStrike">
              <a:solidFill>
                <a:srgbClr val="000000"/>
              </a:solidFill>
              <a:latin typeface="Amasis MT Pro" panose="02040504050005020304" pitchFamily="18" charset="0"/>
            </a:rPr>
            <a:t>0 to </a:t>
          </a:r>
          <a:r>
            <a:rPr lang="en-US" sz="1000" b="0" i="0">
              <a:latin typeface="Amasis MT Pro" panose="02040504050005020304" pitchFamily="18" charset="0"/>
            </a:rPr>
            <a:t>2024, TSMC's gross margin consistently remained above 50%, reflecting a structural cost advantage derived from its leadership in 5nm/3nm technologies.</a:t>
          </a:r>
        </a:p>
        <a:p>
          <a:pPr marL="0" indent="0" algn="l"/>
          <a:r>
            <a:rPr lang="en-US" sz="1000" b="0" i="0">
              <a:latin typeface="Amasis MT Pro" panose="02040504050005020304" pitchFamily="18" charset="0"/>
            </a:rPr>
            <a:t>2022</a:t>
          </a:r>
          <a:r>
            <a:rPr lang="en-US" sz="1000" b="0" i="0" u="none" strike="noStrike">
              <a:solidFill>
                <a:srgbClr val="000000"/>
              </a:solidFill>
              <a:latin typeface="Amasis MT Pro" panose="02040504050005020304" pitchFamily="18" charset="0"/>
            </a:rPr>
            <a:t>'s </a:t>
          </a:r>
          <a:r>
            <a:rPr lang="en-US" sz="1000" b="0" i="0">
              <a:latin typeface="Amasis MT Pro" panose="02040504050005020304" pitchFamily="18" charset="0"/>
            </a:rPr>
            <a:t>margin expansion was driven by strong advanced-node demand and strategic price adjustments.</a:t>
          </a:r>
        </a:p>
        <a:p>
          <a:pPr marL="0" indent="0" algn="l"/>
          <a:r>
            <a:rPr lang="en-US" sz="1000" b="0" i="0">
              <a:latin typeface="Amasis MT Pro" panose="02040504050005020304" pitchFamily="18" charset="0"/>
            </a:rPr>
            <a:t>Contraction in 2023 was cyclical owing to global correction of semiconductor inventories and weaker utilization of mature nodes.</a:t>
          </a:r>
          <a:endParaRPr lang="en-US" sz="1000" b="0" i="0" u="none" strike="noStrike">
            <a:solidFill>
              <a:srgbClr val="000000"/>
            </a:solidFill>
            <a:latin typeface="Amasis MT Pro" panose="02040504050005020304" pitchFamily="18" charset="0"/>
          </a:endParaRPr>
        </a:p>
        <a:p>
          <a:pPr marL="0" indent="0" algn="l"/>
          <a:r>
            <a:rPr lang="en-US" sz="1000" b="0" i="0" u="none" strike="noStrike">
              <a:solidFill>
                <a:srgbClr val="000000"/>
              </a:solidFill>
              <a:latin typeface="Amasis MT Pro" panose="02040504050005020304" pitchFamily="18" charset="0"/>
            </a:rPr>
            <a:t>In </a:t>
          </a:r>
          <a:r>
            <a:rPr lang="en-US" sz="1000" b="0" i="0">
              <a:latin typeface="Amasis MT Pro" panose="02040504050005020304" pitchFamily="18" charset="0"/>
            </a:rPr>
            <a:t>2024</a:t>
          </a:r>
          <a:r>
            <a:rPr lang="en-US" sz="1000" b="0" i="0" u="none" strike="noStrike">
              <a:solidFill>
                <a:srgbClr val="000000"/>
              </a:solidFill>
              <a:latin typeface="Amasis MT Pro" panose="02040504050005020304" pitchFamily="18" charset="0"/>
            </a:rPr>
            <a:t>,</a:t>
          </a:r>
          <a:r>
            <a:rPr lang="en-US" sz="1000" b="0" i="0">
              <a:latin typeface="Amasis MT Pro" panose="02040504050005020304" pitchFamily="18" charset="0"/>
            </a:rPr>
            <a:t> </a:t>
          </a:r>
          <a:r>
            <a:rPr lang="en-US" sz="1000" b="0" i="0" u="none" strike="noStrike">
              <a:solidFill>
                <a:srgbClr val="000000"/>
              </a:solidFill>
              <a:latin typeface="Amasis MT Pro" panose="02040504050005020304" pitchFamily="18" charset="0"/>
            </a:rPr>
            <a:t>the </a:t>
          </a:r>
          <a:r>
            <a:rPr lang="en-US" sz="1000" b="0" i="0">
              <a:latin typeface="Amasis MT Pro" panose="02040504050005020304" pitchFamily="18" charset="0"/>
            </a:rPr>
            <a:t>recovery signals rising AI/HPC-related demand and improved cost absorption from maturing 3nm yields.</a:t>
          </a:r>
        </a:p>
      </xdr:txBody>
    </xdr:sp>
    <xdr:clientData/>
  </xdr:twoCellAnchor>
  <xdr:twoCellAnchor>
    <xdr:from>
      <xdr:col>7</xdr:col>
      <xdr:colOff>0</xdr:colOff>
      <xdr:row>31</xdr:row>
      <xdr:rowOff>85725</xdr:rowOff>
    </xdr:from>
    <xdr:to>
      <xdr:col>13</xdr:col>
      <xdr:colOff>361950</xdr:colOff>
      <xdr:row>41</xdr:row>
      <xdr:rowOff>66675</xdr:rowOff>
    </xdr:to>
    <xdr:sp macro="" textlink="">
      <xdr:nvSpPr>
        <xdr:cNvPr id="42" name="文字方塊 2">
          <a:extLst>
            <a:ext uri="{FF2B5EF4-FFF2-40B4-BE49-F238E27FC236}">
              <a16:creationId xmlns:a16="http://schemas.microsoft.com/office/drawing/2014/main" id="{540B6A5B-617E-5935-9B48-D0D9434974A7}"/>
            </a:ext>
            <a:ext uri="{147F2762-F138-4A5C-976F-8EAC2B608ADB}">
              <a16:predDERef xmlns:a16="http://schemas.microsoft.com/office/drawing/2014/main" pred="{310E2BED-4340-EBF9-E858-D7A63B00E6E2}"/>
            </a:ext>
          </a:extLst>
        </xdr:cNvPr>
        <xdr:cNvSpPr txBox="1"/>
      </xdr:nvSpPr>
      <xdr:spPr>
        <a:xfrm>
          <a:off x="8115300" y="5676900"/>
          <a:ext cx="3848100" cy="1790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Amasis MT Pro" panose="02040504050005020304" pitchFamily="18" charset="0"/>
            </a:rPr>
            <a:t>Operating margin for TSMC remained strong throughout the five-year period, a reflection of solid pricing power and cost control.</a:t>
          </a:r>
        </a:p>
        <a:p>
          <a:pPr marL="0" indent="0" algn="l"/>
          <a:r>
            <a:rPr lang="en-US" sz="1100">
              <a:latin typeface="Amasis MT Pro" panose="02040504050005020304" pitchFamily="18" charset="0"/>
            </a:rPr>
            <a:t>The 2022 peak follows the surge in advanced-node demand.</a:t>
          </a:r>
        </a:p>
        <a:p>
          <a:pPr marL="0" indent="0" algn="l"/>
          <a:r>
            <a:rPr lang="en-US" sz="1100">
              <a:latin typeface="Amasis MT Pro" panose="02040504050005020304" pitchFamily="18" charset="0"/>
            </a:rPr>
            <a:t>The 2023 dip aligns with the industry-wide inventory correction.</a:t>
          </a:r>
        </a:p>
        <a:p>
          <a:pPr marL="0" indent="0" algn="l"/>
          <a:r>
            <a:rPr lang="en-US" sz="1100">
              <a:latin typeface="Amasis MT Pro" panose="02040504050005020304" pitchFamily="18" charset="0"/>
            </a:rPr>
            <a:t>Anchoring the 2024 rebound is the shift from smartphone/PC to AI/HPC workloads.</a:t>
          </a:r>
        </a:p>
        <a:p>
          <a:pPr marL="0" indent="0" algn="l"/>
          <a:r>
            <a:rPr lang="en-US" sz="1100">
              <a:latin typeface="Amasis MT Pro" panose="02040504050005020304" pitchFamily="18" charset="0"/>
            </a:rPr>
            <a:t>TSMC shows an uncommon downcycle resilience for a manufacturing-heavy business, reinforcing the defensiveness of the foundry model.</a:t>
          </a:r>
        </a:p>
      </xdr:txBody>
    </xdr:sp>
    <xdr:clientData/>
  </xdr:twoCellAnchor>
  <xdr:twoCellAnchor>
    <xdr:from>
      <xdr:col>6</xdr:col>
      <xdr:colOff>571500</xdr:colOff>
      <xdr:row>52</xdr:row>
      <xdr:rowOff>0</xdr:rowOff>
    </xdr:from>
    <xdr:to>
      <xdr:col>12</xdr:col>
      <xdr:colOff>571500</xdr:colOff>
      <xdr:row>58</xdr:row>
      <xdr:rowOff>38100</xdr:rowOff>
    </xdr:to>
    <xdr:sp macro="" textlink="">
      <xdr:nvSpPr>
        <xdr:cNvPr id="95" name="文字方塊 3">
          <a:extLst>
            <a:ext uri="{FF2B5EF4-FFF2-40B4-BE49-F238E27FC236}">
              <a16:creationId xmlns:a16="http://schemas.microsoft.com/office/drawing/2014/main" id="{F80198C3-DCAE-C6C0-2283-F1D85167100E}"/>
            </a:ext>
            <a:ext uri="{147F2762-F138-4A5C-976F-8EAC2B608ADB}">
              <a16:predDERef xmlns:a16="http://schemas.microsoft.com/office/drawing/2014/main" pred="{540B6A5B-617E-5935-9B48-D0D9434974A7}"/>
            </a:ext>
          </a:extLst>
        </xdr:cNvPr>
        <xdr:cNvSpPr txBox="1"/>
      </xdr:nvSpPr>
      <xdr:spPr>
        <a:xfrm>
          <a:off x="8105775" y="9391650"/>
          <a:ext cx="3486150" cy="11239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TSMC maintained high profitability.</a:t>
          </a:r>
        </a:p>
        <a:p>
          <a:pPr marL="0" indent="0" algn="l"/>
          <a:r>
            <a:rPr lang="en-US" sz="1000">
              <a:latin typeface="Amasis MT Pro" panose="02040504050005020304" pitchFamily="18" charset="0"/>
            </a:rPr>
            <a:t>2022 marked the peak, driven by advanced-node demand, strategic price increases, and favorable FX conditions.</a:t>
          </a:r>
        </a:p>
        <a:p>
          <a:pPr marL="0" indent="0" algn="l"/>
          <a:r>
            <a:rPr lang="en-US" sz="1000">
              <a:latin typeface="Amasis MT Pro" panose="02040504050005020304" pitchFamily="18" charset="0"/>
            </a:rPr>
            <a:t>2024 showed a clear recovery</a:t>
          </a:r>
          <a:r>
            <a:rPr lang="en-US" sz="1000" b="0" i="0" u="none" strike="noStrike">
              <a:solidFill>
                <a:srgbClr val="000000"/>
              </a:solidFill>
              <a:latin typeface="Amasis MT Pro" panose="02040504050005020304" pitchFamily="18" charset="0"/>
            </a:rPr>
            <a:t> which</a:t>
          </a:r>
          <a:r>
            <a:rPr lang="en-US" sz="1000">
              <a:latin typeface="Amasis MT Pro" panose="02040504050005020304" pitchFamily="18" charset="0"/>
            </a:rPr>
            <a:t> underscor</a:t>
          </a:r>
          <a:r>
            <a:rPr lang="en-US" sz="1000" b="0" i="0" u="none" strike="noStrike">
              <a:solidFill>
                <a:srgbClr val="000000"/>
              </a:solidFill>
              <a:latin typeface="Amasis MT Pro" panose="02040504050005020304" pitchFamily="18" charset="0"/>
            </a:rPr>
            <a:t>ed </a:t>
          </a:r>
          <a:r>
            <a:rPr lang="en-US" sz="1000">
              <a:latin typeface="Amasis MT Pro" panose="02040504050005020304" pitchFamily="18" charset="0"/>
            </a:rPr>
            <a:t>the </a:t>
          </a:r>
          <a:r>
            <a:rPr lang="en-US" sz="1000" b="0" i="0" u="none" strike="noStrike">
              <a:solidFill>
                <a:srgbClr val="000000"/>
              </a:solidFill>
              <a:latin typeface="Amasis MT Pro" panose="02040504050005020304" pitchFamily="18" charset="0"/>
            </a:rPr>
            <a:t>firm</a:t>
          </a:r>
          <a:r>
            <a:rPr lang="en-US" sz="1000">
              <a:latin typeface="Amasis MT Pro" panose="02040504050005020304" pitchFamily="18" charset="0"/>
            </a:rPr>
            <a:t>’s unique advantage in manufacturing.</a:t>
          </a:r>
        </a:p>
      </xdr:txBody>
    </xdr:sp>
    <xdr:clientData/>
  </xdr:twoCellAnchor>
  <xdr:twoCellAnchor>
    <xdr:from>
      <xdr:col>14</xdr:col>
      <xdr:colOff>0</xdr:colOff>
      <xdr:row>13</xdr:row>
      <xdr:rowOff>171450</xdr:rowOff>
    </xdr:from>
    <xdr:to>
      <xdr:col>20</xdr:col>
      <xdr:colOff>561975</xdr:colOff>
      <xdr:row>23</xdr:row>
      <xdr:rowOff>47625</xdr:rowOff>
    </xdr:to>
    <xdr:sp macro="" textlink="">
      <xdr:nvSpPr>
        <xdr:cNvPr id="91" name="文字方塊 7">
          <a:extLst>
            <a:ext uri="{FF2B5EF4-FFF2-40B4-BE49-F238E27FC236}">
              <a16:creationId xmlns:a16="http://schemas.microsoft.com/office/drawing/2014/main" id="{562CB6BC-9364-8FB7-9600-6557D4AC59B1}"/>
            </a:ext>
            <a:ext uri="{147F2762-F138-4A5C-976F-8EAC2B608ADB}">
              <a16:predDERef xmlns:a16="http://schemas.microsoft.com/office/drawing/2014/main" pred="{F80198C3-DCAE-C6C0-2283-F1D85167100E}"/>
            </a:ext>
          </a:extLst>
        </xdr:cNvPr>
        <xdr:cNvSpPr txBox="1"/>
      </xdr:nvSpPr>
      <xdr:spPr>
        <a:xfrm>
          <a:off x="12182475" y="2343150"/>
          <a:ext cx="4048125" cy="16859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TSMC consistently improved operating efficiency due to higher demand for advanced nodes (5nm/3nm) and pricing power in the foundry market.</a:t>
          </a:r>
        </a:p>
        <a:p>
          <a:pPr marL="0" indent="0" algn="l"/>
          <a:r>
            <a:rPr lang="en-US" sz="1000">
              <a:latin typeface="Amasis MT Pro" panose="02040504050005020304" pitchFamily="18" charset="0"/>
            </a:rPr>
            <a:t>The gap between revenue and cost widened over time </a:t>
          </a:r>
          <a:r>
            <a:rPr lang="en-US" sz="1000" b="0" i="0" u="none" strike="noStrike">
              <a:solidFill>
                <a:srgbClr val="000000"/>
              </a:solidFill>
              <a:latin typeface="Amasis MT Pro" panose="02040504050005020304" pitchFamily="18" charset="0"/>
            </a:rPr>
            <a:t>which shows </a:t>
          </a:r>
          <a:r>
            <a:rPr lang="en-US" sz="1000">
              <a:latin typeface="Amasis MT Pro" panose="02040504050005020304" pitchFamily="18" charset="0"/>
            </a:rPr>
            <a:t>strong scaling, learning-curve effects, and higher ASP from HPC/AI clients.</a:t>
          </a:r>
        </a:p>
        <a:p>
          <a:pPr marL="0" indent="0" algn="l"/>
          <a:r>
            <a:rPr lang="en-US" sz="1000">
              <a:latin typeface="Amasis MT Pro" panose="02040504050005020304" pitchFamily="18" charset="0"/>
            </a:rPr>
            <a:t>2023 shows a temporary contraction, driven by a global semiconductor downturn, but the recovery in 2024 confirms the company’s resilience</a:t>
          </a:r>
          <a:r>
            <a:rPr lang="en-US" sz="1000" b="0" i="0" u="none" strike="noStrike">
              <a:solidFill>
                <a:srgbClr val="000000"/>
              </a:solidFill>
              <a:latin typeface="Amasis MT Pro" panose="02040504050005020304" pitchFamily="18" charset="0"/>
            </a:rPr>
            <a:t>. </a:t>
          </a:r>
          <a:endParaRPr lang="en-US" sz="1000">
            <a:latin typeface="Amasis MT Pro" panose="02040504050005020304" pitchFamily="18" charset="0"/>
          </a:endParaRPr>
        </a:p>
        <a:p>
          <a:pPr marL="0" indent="0" algn="l"/>
          <a:r>
            <a:rPr lang="en-US" sz="1000">
              <a:latin typeface="Amasis MT Pro" panose="02040504050005020304" pitchFamily="18" charset="0"/>
            </a:rPr>
            <a:t>TSMC’s cost management remains best-in-class, supported by process leadership and economies of scale.</a:t>
          </a:r>
        </a:p>
      </xdr:txBody>
    </xdr:sp>
    <xdr:clientData/>
  </xdr:twoCellAnchor>
  <xdr:twoCellAnchor>
    <xdr:from>
      <xdr:col>14</xdr:col>
      <xdr:colOff>0</xdr:colOff>
      <xdr:row>37</xdr:row>
      <xdr:rowOff>0</xdr:rowOff>
    </xdr:from>
    <xdr:to>
      <xdr:col>21</xdr:col>
      <xdr:colOff>0</xdr:colOff>
      <xdr:row>45</xdr:row>
      <xdr:rowOff>123825</xdr:rowOff>
    </xdr:to>
    <xdr:sp macro="" textlink="">
      <xdr:nvSpPr>
        <xdr:cNvPr id="90" name="文字方塊 9">
          <a:extLst>
            <a:ext uri="{FF2B5EF4-FFF2-40B4-BE49-F238E27FC236}">
              <a16:creationId xmlns:a16="http://schemas.microsoft.com/office/drawing/2014/main" id="{22D2F26D-40AA-E4A0-999B-2A841B1D525E}"/>
            </a:ext>
            <a:ext uri="{147F2762-F138-4A5C-976F-8EAC2B608ADB}">
              <a16:predDERef xmlns:a16="http://schemas.microsoft.com/office/drawing/2014/main" pred="{562CB6BC-9364-8FB7-9600-6557D4AC59B1}"/>
            </a:ext>
          </a:extLst>
        </xdr:cNvPr>
        <xdr:cNvSpPr txBox="1"/>
      </xdr:nvSpPr>
      <xdr:spPr>
        <a:xfrm>
          <a:off x="12182475" y="6677025"/>
          <a:ext cx="4067175" cy="15716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2022 is the five-year peak, driven by advanced-node demand and successful pricing strategies.</a:t>
          </a:r>
        </a:p>
        <a:p>
          <a:pPr marL="0" indent="0" algn="l"/>
          <a:r>
            <a:rPr lang="en-US" sz="1000">
              <a:latin typeface="Amasis MT Pro" panose="02040504050005020304" pitchFamily="18" charset="0"/>
            </a:rPr>
            <a:t>2023 is the trough, but TSMC remained profitable, demonstrating superior cost structure and competitive advantage.</a:t>
          </a:r>
        </a:p>
        <a:p>
          <a:pPr marL="0" indent="0" algn="l"/>
          <a:r>
            <a:rPr lang="en-US" sz="1000">
              <a:latin typeface="Amasis MT Pro" panose="02040504050005020304" pitchFamily="18" charset="0"/>
            </a:rPr>
            <a:t>Operating leverage is significant:</a:t>
          </a:r>
        </a:p>
        <a:p>
          <a:pPr marL="0" indent="0" algn="l"/>
          <a:r>
            <a:rPr lang="en-US" sz="1000">
              <a:latin typeface="Amasis MT Pro" panose="02040504050005020304" pitchFamily="18" charset="0"/>
            </a:rPr>
            <a:t>When revenue r</a:t>
          </a:r>
          <a:r>
            <a:rPr lang="en-US" sz="1000" b="0" i="0" u="none" strike="noStrike">
              <a:solidFill>
                <a:srgbClr val="000000"/>
              </a:solidFill>
              <a:latin typeface="Amasis MT Pro" panose="02040504050005020304" pitchFamily="18" charset="0"/>
            </a:rPr>
            <a:t>ose</a:t>
          </a:r>
          <a:r>
            <a:rPr lang="en-US" sz="1000">
              <a:latin typeface="Amasis MT Pro" panose="02040504050005020304" pitchFamily="18" charset="0"/>
            </a:rPr>
            <a:t>, margins expand</a:t>
          </a:r>
          <a:r>
            <a:rPr lang="en-US" sz="1000" b="0" i="0" u="none" strike="noStrike">
              <a:solidFill>
                <a:srgbClr val="000000"/>
              </a:solidFill>
              <a:latin typeface="Amasis MT Pro" panose="02040504050005020304" pitchFamily="18" charset="0"/>
            </a:rPr>
            <a:t>ed</a:t>
          </a:r>
          <a:r>
            <a:rPr lang="en-US" sz="1000">
              <a:latin typeface="Amasis MT Pro" panose="02040504050005020304" pitchFamily="18" charset="0"/>
            </a:rPr>
            <a:t> faster; when revenue decline</a:t>
          </a:r>
          <a:r>
            <a:rPr lang="en-US" sz="1000" b="0" i="0" u="none" strike="noStrike">
              <a:solidFill>
                <a:srgbClr val="000000"/>
              </a:solidFill>
              <a:latin typeface="Amasis MT Pro" panose="02040504050005020304" pitchFamily="18" charset="0"/>
            </a:rPr>
            <a:t>d</a:t>
          </a:r>
          <a:r>
            <a:rPr lang="en-US" sz="1000">
              <a:latin typeface="Amasis MT Pro" panose="02040504050005020304" pitchFamily="18" charset="0"/>
            </a:rPr>
            <a:t>, profitability contract</a:t>
          </a:r>
          <a:r>
            <a:rPr lang="en-US" sz="1000" b="0" i="0" u="none" strike="noStrike">
              <a:solidFill>
                <a:srgbClr val="000000"/>
              </a:solidFill>
              <a:latin typeface="Amasis MT Pro" panose="02040504050005020304" pitchFamily="18" charset="0"/>
            </a:rPr>
            <a:t>ed</a:t>
          </a:r>
          <a:r>
            <a:rPr lang="en-US" sz="1000">
              <a:latin typeface="Amasis MT Pro" panose="02040504050005020304" pitchFamily="18" charset="0"/>
            </a:rPr>
            <a:t> sharply.</a:t>
          </a:r>
        </a:p>
        <a:p>
          <a:pPr marL="0" indent="0" algn="l"/>
          <a:r>
            <a:rPr lang="en-US" sz="1000">
              <a:latin typeface="Amasis MT Pro" panose="02040504050005020304" pitchFamily="18" charset="0"/>
            </a:rPr>
            <a:t>TSMC’s resilience in downturns sets it apart from major competitors, reflecting its leadership in 5nm/3nm technologies.</a:t>
          </a:r>
        </a:p>
      </xdr:txBody>
    </xdr:sp>
    <xdr:clientData/>
  </xdr:twoCellAnchor>
  <xdr:twoCellAnchor>
    <xdr:from>
      <xdr:col>14</xdr:col>
      <xdr:colOff>9525</xdr:colOff>
      <xdr:row>58</xdr:row>
      <xdr:rowOff>9525</xdr:rowOff>
    </xdr:from>
    <xdr:to>
      <xdr:col>21</xdr:col>
      <xdr:colOff>19050</xdr:colOff>
      <xdr:row>65</xdr:row>
      <xdr:rowOff>76200</xdr:rowOff>
    </xdr:to>
    <xdr:sp macro="" textlink="">
      <xdr:nvSpPr>
        <xdr:cNvPr id="57" name="文字方塊 10">
          <a:extLst>
            <a:ext uri="{FF2B5EF4-FFF2-40B4-BE49-F238E27FC236}">
              <a16:creationId xmlns:a16="http://schemas.microsoft.com/office/drawing/2014/main" id="{AD0C049E-5EA9-478C-E653-D8606EC9CD7E}"/>
            </a:ext>
            <a:ext uri="{147F2762-F138-4A5C-976F-8EAC2B608ADB}">
              <a16:predDERef xmlns:a16="http://schemas.microsoft.com/office/drawing/2014/main" pred="{22D2F26D-40AA-E4A0-999B-2A841B1D525E}"/>
            </a:ext>
          </a:extLst>
        </xdr:cNvPr>
        <xdr:cNvSpPr txBox="1"/>
      </xdr:nvSpPr>
      <xdr:spPr>
        <a:xfrm>
          <a:off x="12192000" y="10487025"/>
          <a:ext cx="4076700" cy="1333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Operating expenses doubled in five years, driven mainly by R&amp;D investment</a:t>
          </a:r>
          <a:r>
            <a:rPr lang="en-US" sz="1000" b="0" i="0" u="none" strike="noStrike">
              <a:solidFill>
                <a:srgbClr val="000000"/>
              </a:solidFill>
              <a:latin typeface="Amasis MT Pro" panose="02040504050005020304" pitchFamily="18" charset="0"/>
            </a:rPr>
            <a:t> </a:t>
          </a:r>
          <a:r>
            <a:rPr lang="en-US" sz="1000">
              <a:latin typeface="Amasis MT Pro" panose="02040504050005020304" pitchFamily="18" charset="0"/>
            </a:rPr>
            <a:t>in 3nm/2nm process technologies and overseas capacity expansion in the US and Japan</a:t>
          </a:r>
          <a:r>
            <a:rPr lang="en-US" sz="1000" b="0" i="0" u="none" strike="noStrike">
              <a:solidFill>
                <a:srgbClr val="000000"/>
              </a:solidFill>
              <a:latin typeface="Amasis MT Pro" panose="02040504050005020304" pitchFamily="18" charset="0"/>
            </a:rPr>
            <a:t>.</a:t>
          </a:r>
        </a:p>
        <a:p>
          <a:pPr marL="0" indent="0" algn="l"/>
          <a:r>
            <a:rPr lang="en-US" sz="1000" b="0" i="0" u="none" strike="noStrike">
              <a:solidFill>
                <a:srgbClr val="000000"/>
              </a:solidFill>
              <a:latin typeface="Amasis MT Pro" panose="02040504050005020304" pitchFamily="18" charset="0"/>
            </a:rPr>
            <a:t>This margin </a:t>
          </a:r>
          <a:r>
            <a:rPr lang="en-US" sz="1000">
              <a:latin typeface="Amasis MT Pro" panose="02040504050005020304" pitchFamily="18" charset="0"/>
            </a:rPr>
            <a:t>remained strong, demonstrating TSMC’s ability to absorb elevated OpEx without compromising profitability, which matters because the higher spending is strategic rather than inefficient, enabling TSMC to sustain </a:t>
          </a:r>
          <a:r>
            <a:rPr lang="en-US" sz="1000" b="0" i="0" u="none" strike="noStrike">
              <a:solidFill>
                <a:srgbClr val="000000"/>
              </a:solidFill>
              <a:latin typeface="Amasis MT Pro" panose="02040504050005020304" pitchFamily="18" charset="0"/>
            </a:rPr>
            <a:t>as a </a:t>
          </a:r>
          <a:r>
            <a:rPr lang="en-US" sz="1000">
              <a:latin typeface="Amasis MT Pro" panose="02040504050005020304" pitchFamily="18" charset="0"/>
            </a:rPr>
            <a:t>lead</a:t>
          </a:r>
          <a:r>
            <a:rPr lang="en-US" sz="1000" b="0" i="0" u="none" strike="noStrike">
              <a:solidFill>
                <a:srgbClr val="000000"/>
              </a:solidFill>
              <a:latin typeface="Amasis MT Pro" panose="02040504050005020304" pitchFamily="18" charset="0"/>
            </a:rPr>
            <a:t>er</a:t>
          </a:r>
          <a:r>
            <a:rPr lang="en-US" sz="1000">
              <a:latin typeface="Amasis MT Pro" panose="02040504050005020304" pitchFamily="18" charset="0"/>
            </a:rPr>
            <a:t> that is essential for capturing AI-driven demand.</a:t>
          </a:r>
        </a:p>
      </xdr:txBody>
    </xdr:sp>
    <xdr:clientData/>
  </xdr:twoCellAnchor>
  <xdr:twoCellAnchor>
    <xdr:from>
      <xdr:col>22</xdr:col>
      <xdr:colOff>19050</xdr:colOff>
      <xdr:row>14</xdr:row>
      <xdr:rowOff>0</xdr:rowOff>
    </xdr:from>
    <xdr:to>
      <xdr:col>29</xdr:col>
      <xdr:colOff>0</xdr:colOff>
      <xdr:row>18</xdr:row>
      <xdr:rowOff>47625</xdr:rowOff>
    </xdr:to>
    <xdr:sp macro="" textlink="">
      <xdr:nvSpPr>
        <xdr:cNvPr id="74" name="文字方塊 11">
          <a:extLst>
            <a:ext uri="{FF2B5EF4-FFF2-40B4-BE49-F238E27FC236}">
              <a16:creationId xmlns:a16="http://schemas.microsoft.com/office/drawing/2014/main" id="{1C8E53A2-D15B-E11C-D2AF-CFA958A4602B}"/>
            </a:ext>
            <a:ext uri="{147F2762-F138-4A5C-976F-8EAC2B608ADB}">
              <a16:predDERef xmlns:a16="http://schemas.microsoft.com/office/drawing/2014/main" pred="{AD0C049E-5EA9-478C-E653-D8606EC9CD7E}"/>
            </a:ext>
          </a:extLst>
        </xdr:cNvPr>
        <xdr:cNvSpPr txBox="1"/>
      </xdr:nvSpPr>
      <xdr:spPr>
        <a:xfrm>
          <a:off x="16849725" y="2352675"/>
          <a:ext cx="4048125" cy="771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b="0" i="0" u="none" strike="noStrike">
              <a:solidFill>
                <a:srgbClr val="000000"/>
              </a:solidFill>
              <a:latin typeface="Amasis MT Pro" panose="02040504050005020304" pitchFamily="18" charset="0"/>
            </a:rPr>
            <a:t>TSMC consistently had negative CFInv, reflecting its long-term capital-intensive model, with the 2022 CapEx peak tied to record investment in the 3nm ramp-up and continued, though moderated, heavy spending during 2023 and 2024 to support advanced packaging and global fabs.</a:t>
          </a:r>
        </a:p>
      </xdr:txBody>
    </xdr:sp>
    <xdr:clientData/>
  </xdr:twoCellAnchor>
  <xdr:twoCellAnchor>
    <xdr:from>
      <xdr:col>21</xdr:col>
      <xdr:colOff>571500</xdr:colOff>
      <xdr:row>34</xdr:row>
      <xdr:rowOff>180975</xdr:rowOff>
    </xdr:from>
    <xdr:to>
      <xdr:col>29</xdr:col>
      <xdr:colOff>0</xdr:colOff>
      <xdr:row>40</xdr:row>
      <xdr:rowOff>66675</xdr:rowOff>
    </xdr:to>
    <xdr:sp macro="" textlink="">
      <xdr:nvSpPr>
        <xdr:cNvPr id="65" name="文字方塊 12">
          <a:extLst>
            <a:ext uri="{FF2B5EF4-FFF2-40B4-BE49-F238E27FC236}">
              <a16:creationId xmlns:a16="http://schemas.microsoft.com/office/drawing/2014/main" id="{EE12D036-7BBA-1648-6DF5-096B39FAA8A0}"/>
            </a:ext>
            <a:ext uri="{147F2762-F138-4A5C-976F-8EAC2B608ADB}">
              <a16:predDERef xmlns:a16="http://schemas.microsoft.com/office/drawing/2014/main" pred="{1C8E53A2-D15B-E11C-D2AF-CFA958A4602B}"/>
            </a:ext>
          </a:extLst>
        </xdr:cNvPr>
        <xdr:cNvSpPr txBox="1"/>
      </xdr:nvSpPr>
      <xdr:spPr>
        <a:xfrm>
          <a:off x="16821150" y="6467475"/>
          <a:ext cx="4076700" cy="1028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TSMC’s operating expenses have increased steadily over the last five years, driven mainly by strategic R&amp;D investment necessary for advanced process technology leadership. G&amp;A growth remains </a:t>
          </a:r>
          <a:r>
            <a:rPr lang="en-US" sz="1000" b="0" i="0" u="none" strike="noStrike">
              <a:solidFill>
                <a:srgbClr val="000000"/>
              </a:solidFill>
              <a:latin typeface="Amasis MT Pro" panose="02040504050005020304" pitchFamily="18" charset="0"/>
            </a:rPr>
            <a:t>comparatively </a:t>
          </a:r>
          <a:r>
            <a:rPr lang="en-US" sz="1000">
              <a:latin typeface="Amasis MT Pro" panose="02040504050005020304" pitchFamily="18" charset="0"/>
            </a:rPr>
            <a:t>moderate and reflects global capacity expansion. Overall</a:t>
          </a:r>
          <a:r>
            <a:rPr lang="en-US" sz="1000" b="0" i="0" u="none" strike="noStrike">
              <a:solidFill>
                <a:srgbClr val="000000"/>
              </a:solidFill>
              <a:latin typeface="Amasis MT Pro" panose="02040504050005020304" pitchFamily="18" charset="0"/>
            </a:rPr>
            <a:t>,</a:t>
          </a:r>
          <a:r>
            <a:rPr lang="en-US" sz="1000">
              <a:latin typeface="Amasis MT Pro" panose="02040504050005020304" pitchFamily="18" charset="0"/>
            </a:rPr>
            <a:t> cost t</a:t>
          </a:r>
          <a:r>
            <a:rPr lang="en-US" sz="1000" b="0" i="0" u="none" strike="noStrike">
              <a:solidFill>
                <a:srgbClr val="000000"/>
              </a:solidFill>
              <a:latin typeface="Amasis MT Pro" panose="02040504050005020304" pitchFamily="18" charset="0"/>
            </a:rPr>
            <a:t>racking</a:t>
          </a:r>
          <a:r>
            <a:rPr lang="en-US" sz="1000">
              <a:latin typeface="Amasis MT Pro" panose="02040504050005020304" pitchFamily="18" charset="0"/>
            </a:rPr>
            <a:t> support</a:t>
          </a:r>
          <a:r>
            <a:rPr lang="en-US" sz="1000" b="0" i="0" u="none" strike="noStrike">
              <a:solidFill>
                <a:srgbClr val="000000"/>
              </a:solidFill>
              <a:latin typeface="Amasis MT Pro" panose="02040504050005020304" pitchFamily="18" charset="0"/>
            </a:rPr>
            <a:t>s</a:t>
          </a:r>
          <a:r>
            <a:rPr lang="en-US" sz="1000">
              <a:latin typeface="Amasis MT Pro" panose="02040504050005020304" pitchFamily="18" charset="0"/>
            </a:rPr>
            <a:t> long-term competitive advantages rather than operating inefficiencie</a:t>
          </a:r>
          <a:r>
            <a:rPr lang="en-US" sz="1000" b="0" i="0" u="none" strike="noStrike">
              <a:solidFill>
                <a:srgbClr val="000000"/>
              </a:solidFill>
              <a:latin typeface="Amasis MT Pro" panose="02040504050005020304" pitchFamily="18" charset="0"/>
            </a:rPr>
            <a:t>.</a:t>
          </a:r>
        </a:p>
      </xdr:txBody>
    </xdr:sp>
    <xdr:clientData/>
  </xdr:twoCellAnchor>
  <xdr:twoCellAnchor>
    <xdr:from>
      <xdr:col>22</xdr:col>
      <xdr:colOff>19050</xdr:colOff>
      <xdr:row>55</xdr:row>
      <xdr:rowOff>9525</xdr:rowOff>
    </xdr:from>
    <xdr:to>
      <xdr:col>28</xdr:col>
      <xdr:colOff>561975</xdr:colOff>
      <xdr:row>60</xdr:row>
      <xdr:rowOff>85725</xdr:rowOff>
    </xdr:to>
    <xdr:sp macro="" textlink="">
      <xdr:nvSpPr>
        <xdr:cNvPr id="98" name="文字方塊 15">
          <a:extLst>
            <a:ext uri="{FF2B5EF4-FFF2-40B4-BE49-F238E27FC236}">
              <a16:creationId xmlns:a16="http://schemas.microsoft.com/office/drawing/2014/main" id="{93080CBB-382D-8B50-FE2A-92370BFA516A}"/>
            </a:ext>
            <a:ext uri="{147F2762-F138-4A5C-976F-8EAC2B608ADB}">
              <a16:predDERef xmlns:a16="http://schemas.microsoft.com/office/drawing/2014/main" pred="{EE12D036-7BBA-1648-6DF5-096B39FAA8A0}"/>
            </a:ext>
          </a:extLst>
        </xdr:cNvPr>
        <xdr:cNvSpPr txBox="1"/>
      </xdr:nvSpPr>
      <xdr:spPr>
        <a:xfrm>
          <a:off x="16849725" y="9944100"/>
          <a:ext cx="4029075" cy="9810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Despite CapEx pressure, TSMC's FCF surged in</a:t>
          </a:r>
          <a:r>
            <a:rPr lang="en-US" sz="1000" b="0" i="0" u="none" strike="noStrike">
              <a:solidFill>
                <a:srgbClr val="000000"/>
              </a:solidFill>
              <a:latin typeface="Amasis MT Pro" panose="02040504050005020304" pitchFamily="18" charset="0"/>
            </a:rPr>
            <a:t> </a:t>
          </a:r>
          <a:r>
            <a:rPr lang="en-US" sz="1000">
              <a:latin typeface="Amasis MT Pro" panose="02040504050005020304" pitchFamily="18" charset="0"/>
            </a:rPr>
            <a:t>2024 which was driven by a strong recovery in operating cash flows, a high-margin AI/HPC customer mix, and improved utilization and pricing</a:t>
          </a:r>
          <a:r>
            <a:rPr lang="en-US" sz="1000" b="0" i="0" u="none" strike="noStrike">
              <a:solidFill>
                <a:srgbClr val="000000"/>
              </a:solidFill>
              <a:latin typeface="Amasis MT Pro" panose="02040504050005020304" pitchFamily="18" charset="0"/>
            </a:rPr>
            <a:t>.</a:t>
          </a:r>
        </a:p>
        <a:p>
          <a:pPr marL="0" indent="0" algn="l"/>
          <a:r>
            <a:rPr lang="en-US" sz="1000" b="0" i="0" u="none" strike="noStrike">
              <a:solidFill>
                <a:srgbClr val="000000"/>
              </a:solidFill>
              <a:latin typeface="Amasis MT Pro" panose="02040504050005020304" pitchFamily="18" charset="0"/>
            </a:rPr>
            <a:t>I</a:t>
          </a:r>
          <a:r>
            <a:rPr lang="en-US" sz="1000">
              <a:latin typeface="Amasis MT Pro" panose="02040504050005020304" pitchFamily="18" charset="0"/>
            </a:rPr>
            <a:t>t shows that TSMC can self-fund its global expansion and sustain shareholder returns</a:t>
          </a:r>
          <a:r>
            <a:rPr lang="en-US" sz="1000" b="0" i="0" u="none" strike="noStrike">
              <a:solidFill>
                <a:srgbClr val="000000"/>
              </a:solidFill>
              <a:latin typeface="Amasis MT Pro" panose="02040504050005020304" pitchFamily="18" charset="0"/>
            </a:rPr>
            <a:t>.</a:t>
          </a:r>
        </a:p>
      </xdr:txBody>
    </xdr:sp>
    <xdr:clientData/>
  </xdr:twoCellAnchor>
  <xdr:twoCellAnchor>
    <xdr:from>
      <xdr:col>22</xdr:col>
      <xdr:colOff>57150</xdr:colOff>
      <xdr:row>76</xdr:row>
      <xdr:rowOff>66675</xdr:rowOff>
    </xdr:from>
    <xdr:to>
      <xdr:col>29</xdr:col>
      <xdr:colOff>47625</xdr:colOff>
      <xdr:row>80</xdr:row>
      <xdr:rowOff>38100</xdr:rowOff>
    </xdr:to>
    <xdr:sp macro="" textlink="">
      <xdr:nvSpPr>
        <xdr:cNvPr id="102" name="文字方塊 18">
          <a:extLst>
            <a:ext uri="{FF2B5EF4-FFF2-40B4-BE49-F238E27FC236}">
              <a16:creationId xmlns:a16="http://schemas.microsoft.com/office/drawing/2014/main" id="{FA99F193-4115-4D9B-C167-EA5F71B521F2}"/>
            </a:ext>
            <a:ext uri="{147F2762-F138-4A5C-976F-8EAC2B608ADB}">
              <a16:predDERef xmlns:a16="http://schemas.microsoft.com/office/drawing/2014/main" pred="{93080CBB-382D-8B50-FE2A-92370BFA516A}"/>
            </a:ext>
          </a:extLst>
        </xdr:cNvPr>
        <xdr:cNvSpPr txBox="1"/>
      </xdr:nvSpPr>
      <xdr:spPr>
        <a:xfrm>
          <a:off x="16887825" y="13801725"/>
          <a:ext cx="4057650" cy="695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Amasis MT Pro" panose="02040504050005020304" pitchFamily="18" charset="0"/>
            </a:rPr>
            <a:t>TSMC’s cash-flow structure is highly sustainable, with strong operating cash flow consistently funding heavy strategic investments and shareholder returns without relying on external financing.</a:t>
          </a:r>
          <a:endParaRPr lang="en-US" sz="1000" b="0" i="0" u="none" strike="noStrike">
            <a:solidFill>
              <a:srgbClr val="000000"/>
            </a:solidFill>
            <a:latin typeface="Amasis MT Pro" panose="02040504050005020304" pitchFamily="18" charset="0"/>
          </a:endParaRPr>
        </a:p>
        <a:p>
          <a:pPr marL="0" indent="0" algn="l"/>
          <a:endParaRPr lang="en-US" sz="1000" b="0" i="0" u="none" strike="noStrike">
            <a:solidFill>
              <a:srgbClr val="000000"/>
            </a:solidFill>
            <a:latin typeface="Amasis MT Pro" panose="02040504050005020304" pitchFamily="18" charset="0"/>
          </a:endParaRPr>
        </a:p>
      </xdr:txBody>
    </xdr:sp>
    <xdr:clientData/>
  </xdr:twoCellAnchor>
  <xdr:twoCellAnchor>
    <xdr:from>
      <xdr:col>0</xdr:col>
      <xdr:colOff>0</xdr:colOff>
      <xdr:row>58</xdr:row>
      <xdr:rowOff>-1</xdr:rowOff>
    </xdr:from>
    <xdr:to>
      <xdr:col>7</xdr:col>
      <xdr:colOff>87586</xdr:colOff>
      <xdr:row>77</xdr:row>
      <xdr:rowOff>14596</xdr:rowOff>
    </xdr:to>
    <xdr:sp macro="" textlink="">
      <xdr:nvSpPr>
        <xdr:cNvPr id="2" name="TextBox 7">
          <a:extLst>
            <a:ext uri="{FF2B5EF4-FFF2-40B4-BE49-F238E27FC236}">
              <a16:creationId xmlns:a16="http://schemas.microsoft.com/office/drawing/2014/main" id="{ADB7B23F-D347-C94F-B3A3-E5E90C623E36}"/>
            </a:ext>
            <a:ext uri="{147F2762-F138-4A5C-976F-8EAC2B608ADB}">
              <a16:predDERef xmlns:a16="http://schemas.microsoft.com/office/drawing/2014/main" pred="{88083832-C0BF-D551-7F88-8BC3EDC00D8B}"/>
            </a:ext>
          </a:extLst>
        </xdr:cNvPr>
        <xdr:cNvSpPr txBox="1"/>
      </xdr:nvSpPr>
      <xdr:spPr>
        <a:xfrm>
          <a:off x="0" y="10816896"/>
          <a:ext cx="9386322" cy="3620229"/>
        </a:xfrm>
        <a:prstGeom prst="rect">
          <a:avLst/>
        </a:prstGeom>
        <a:solidFill>
          <a:schemeClr val="bg1"/>
        </a:solidFill>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References:</a:t>
          </a:r>
          <a:r>
            <a:rPr lang="en-US" sz="1100" b="1" i="0" u="none" strike="noStrike" baseline="0">
              <a:solidFill>
                <a:srgbClr val="000000"/>
              </a:solidFill>
              <a:latin typeface="Aptos Narrow" panose="020B0004020202020204" pitchFamily="34" charset="0"/>
            </a:rPr>
            <a:t> </a:t>
          </a:r>
        </a:p>
        <a:p>
          <a:r>
            <a:rPr lang="en-IN" sz="1100" b="0" i="0" u="none" strike="noStrike">
              <a:solidFill>
                <a:schemeClr val="dk1"/>
              </a:solidFill>
              <a:effectLst/>
              <a:latin typeface="+mn-lt"/>
              <a:ea typeface="+mn-ea"/>
              <a:cs typeface="+mn-cs"/>
            </a:rPr>
            <a:t>TSMC (2025) 4Q24 Management Report. Available at: https://investor.tsmc.com/english/encrypt/files/encrypt_file/reports/2025-01/2d8b2bb6fc3b5887d24ae0635f639c1cdca834f3/4Q24ManagementReport.pdf</a:t>
          </a:r>
        </a:p>
        <a:p>
          <a:r>
            <a:rPr lang="en-IN" sz="1100" b="0" i="0" u="none" strike="noStrike">
              <a:solidFill>
                <a:schemeClr val="dk1"/>
              </a:solidFill>
              <a:effectLst/>
              <a:latin typeface="+mn-lt"/>
              <a:ea typeface="+mn-ea"/>
              <a:cs typeface="+mn-cs"/>
            </a:rPr>
            <a:t>(Accessed: 8 November 2025).</a:t>
          </a:r>
        </a:p>
        <a:p>
          <a:r>
            <a:rPr lang="en-IN" sz="1100" b="0" i="0" u="none" strike="noStrike">
              <a:solidFill>
                <a:schemeClr val="dk1"/>
              </a:solidFill>
              <a:effectLst/>
              <a:latin typeface="+mn-lt"/>
              <a:ea typeface="+mn-ea"/>
              <a:cs typeface="+mn-cs"/>
            </a:rPr>
            <a:t>TSMC (2023) 4Q22 Management Report. Available at: https://investor.tsmc.com/chinese/encrypt/files/encrypt_file/reports/2023-01/91107cbb4214c395a1a26e73edb31f5c1813c599/4Q22ManagementReport.pdf</a:t>
          </a:r>
        </a:p>
        <a:p>
          <a:r>
            <a:rPr lang="en-IN" sz="1100" b="0" i="0" u="none" strike="noStrike">
              <a:solidFill>
                <a:schemeClr val="dk1"/>
              </a:solidFill>
              <a:effectLst/>
              <a:latin typeface="+mn-lt"/>
              <a:ea typeface="+mn-ea"/>
              <a:cs typeface="+mn-cs"/>
            </a:rPr>
            <a:t>(Accessed: 8 November 2025).</a:t>
          </a:r>
        </a:p>
        <a:p>
          <a:r>
            <a:rPr lang="en-IN" sz="1100" b="0" i="0" u="none" strike="noStrike">
              <a:solidFill>
                <a:schemeClr val="dk1"/>
              </a:solidFill>
              <a:effectLst/>
              <a:latin typeface="+mn-lt"/>
              <a:ea typeface="+mn-ea"/>
              <a:cs typeface="+mn-cs"/>
            </a:rPr>
            <a:t>TSMC (2021) 4Q20 Management Report. Available at: https://investor.tsmc.com/english/encrypt/files/encrypt_file/reports/2021-01/4Q20ManagementReport.pdf (Accessed: 8 November 2025).</a:t>
          </a:r>
        </a:p>
        <a:p>
          <a:r>
            <a:rPr lang="en-IN" sz="1100" b="0" i="0" u="none" strike="noStrike">
              <a:solidFill>
                <a:schemeClr val="dk1"/>
              </a:solidFill>
              <a:effectLst/>
              <a:latin typeface="+mn-lt"/>
              <a:ea typeface="+mn-ea"/>
              <a:cs typeface="+mn-cs"/>
            </a:rPr>
            <a:t>TSMC (2024) 2024 Annual Report. Available at: https://investor.tsmc.com/sites/ir/annual-report/2024/2024%20Annual%20Report.E.pdf (Accessed: 8 November 2025).</a:t>
          </a:r>
        </a:p>
        <a:p>
          <a:r>
            <a:rPr lang="en-IN" sz="1100" b="0" i="0" u="none" strike="noStrike">
              <a:solidFill>
                <a:schemeClr val="dk1"/>
              </a:solidFill>
              <a:effectLst/>
              <a:latin typeface="+mn-lt"/>
              <a:ea typeface="+mn-ea"/>
              <a:cs typeface="+mn-cs"/>
            </a:rPr>
            <a:t>TSMC (2023) 2023 Annual Report. Available at: https://investor.tsmc.com/sites/ir/annual-report/2023/2023_Annual_Report_E.pdf (Accessed: 28 November 2025).</a:t>
          </a:r>
        </a:p>
        <a:p>
          <a:r>
            <a:rPr lang="en-IN" sz="1100" b="0" i="0" u="none" strike="noStrike">
              <a:solidFill>
                <a:schemeClr val="dk1"/>
              </a:solidFill>
              <a:effectLst/>
              <a:latin typeface="+mn-lt"/>
              <a:ea typeface="+mn-ea"/>
              <a:cs typeface="+mn-cs"/>
            </a:rPr>
            <a:t>TSMC (2022) 2022 Annual Report. Available at: https://investor.tsmc.com/sites/ir/annual-report/2022/2022%20Annual%20Report-E.pdf (Accessed: 8 November 2025).</a:t>
          </a:r>
        </a:p>
        <a:p>
          <a:r>
            <a:rPr lang="en-IN" sz="1100" b="0" i="0" u="none" strike="noStrike">
              <a:solidFill>
                <a:schemeClr val="dk1"/>
              </a:solidFill>
              <a:effectLst/>
              <a:latin typeface="+mn-lt"/>
              <a:ea typeface="+mn-ea"/>
              <a:cs typeface="+mn-cs"/>
            </a:rPr>
            <a:t>TSMC (2021) 2021 Annual Report. Available at: https://investor.tsmc.com/sites/ir/annual-report/2021/2021_Annual%20Report%20_E.pdf (Accessed: 8 November 2025).</a:t>
          </a:r>
        </a:p>
        <a:p>
          <a:r>
            <a:rPr lang="en-IN" sz="1100" b="0" i="0" u="none" strike="noStrike">
              <a:solidFill>
                <a:schemeClr val="dk1"/>
              </a:solidFill>
              <a:effectLst/>
              <a:latin typeface="+mn-lt"/>
              <a:ea typeface="+mn-ea"/>
              <a:cs typeface="+mn-cs"/>
            </a:rPr>
            <a:t>TSMC (2020) 2020 Annual Report. Available at: https://investor.tsmc.com/sites/ir/annual-report/2020/2020Annual%20Report_E_%20.pdf (Accessed: 8 November 2025).</a:t>
          </a:r>
        </a:p>
        <a:p>
          <a:r>
            <a:rPr lang="en-IN" sz="1100" b="0" i="0" u="none" strike="noStrike">
              <a:solidFill>
                <a:schemeClr val="dk1"/>
              </a:solidFill>
              <a:effectLst/>
              <a:latin typeface="+mn-lt"/>
              <a:ea typeface="+mn-ea"/>
              <a:cs typeface="+mn-cs"/>
            </a:rPr>
            <a:t>Qualcomm (2024) Qualcomm Inc. Form 10-K — 2024 Annual Report. Available at: https://d18rn0p25nwr6d.cloudfront.net/CIK-0000804328/5eed6c49-1a65-46e5-9498-cac58bb9381a.html (Accessed: 7 November 2025).</a:t>
          </a:r>
        </a:p>
        <a:p>
          <a:pPr marL="0" indent="0" algn="ctr"/>
          <a:endParaRPr lang="en-US" sz="1100" b="0" i="0" u="none" strike="noStrike">
            <a:solidFill>
              <a:srgbClr val="000000"/>
            </a:solidFill>
            <a:latin typeface="Aptos Narrow" panose="020B00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285750</xdr:colOff>
      <xdr:row>2</xdr:row>
      <xdr:rowOff>9525</xdr:rowOff>
    </xdr:from>
    <xdr:to>
      <xdr:col>15</xdr:col>
      <xdr:colOff>209550</xdr:colOff>
      <xdr:row>16</xdr:row>
      <xdr:rowOff>142875</xdr:rowOff>
    </xdr:to>
    <xdr:graphicFrame macro="">
      <xdr:nvGraphicFramePr>
        <xdr:cNvPr id="5" name="Çizelge 19">
          <a:extLst>
            <a:ext uri="{FF2B5EF4-FFF2-40B4-BE49-F238E27FC236}">
              <a16:creationId xmlns:a16="http://schemas.microsoft.com/office/drawing/2014/main" id="{71C1BDB1-626A-3F43-8641-BB7789029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390525</xdr:colOff>
      <xdr:row>36</xdr:row>
      <xdr:rowOff>152400</xdr:rowOff>
    </xdr:from>
    <xdr:to>
      <xdr:col>15</xdr:col>
      <xdr:colOff>314325</xdr:colOff>
      <xdr:row>51</xdr:row>
      <xdr:rowOff>142875</xdr:rowOff>
    </xdr:to>
    <xdr:graphicFrame macro="">
      <xdr:nvGraphicFramePr>
        <xdr:cNvPr id="50" name="Çizelge 23">
          <a:extLst>
            <a:ext uri="{FF2B5EF4-FFF2-40B4-BE49-F238E27FC236}">
              <a16:creationId xmlns:a16="http://schemas.microsoft.com/office/drawing/2014/main" id="{0EACD2F7-441A-EFC2-47EE-5BB0A2140044}"/>
            </a:ext>
            <a:ext uri="{147F2762-F138-4A5C-976F-8EAC2B608ADB}">
              <a16:predDERef xmlns:a16="http://schemas.microsoft.com/office/drawing/2014/main" pred="{71C1BDB1-626A-3F43-8641-BB7789029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447675</xdr:colOff>
      <xdr:row>53</xdr:row>
      <xdr:rowOff>171450</xdr:rowOff>
    </xdr:from>
    <xdr:to>
      <xdr:col>15</xdr:col>
      <xdr:colOff>371475</xdr:colOff>
      <xdr:row>70</xdr:row>
      <xdr:rowOff>19050</xdr:rowOff>
    </xdr:to>
    <xdr:graphicFrame macro="">
      <xdr:nvGraphicFramePr>
        <xdr:cNvPr id="61" name="Çizelge 27">
          <a:extLst>
            <a:ext uri="{FF2B5EF4-FFF2-40B4-BE49-F238E27FC236}">
              <a16:creationId xmlns:a16="http://schemas.microsoft.com/office/drawing/2014/main" id="{D0FA5C09-3604-88D5-F1C2-8DCF9BFF5D25}"/>
            </a:ext>
            <a:ext uri="{147F2762-F138-4A5C-976F-8EAC2B608ADB}">
              <a16:predDERef xmlns:a16="http://schemas.microsoft.com/office/drawing/2014/main" pred="{0EACD2F7-441A-EFC2-47EE-5BB0A2140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323850</xdr:colOff>
      <xdr:row>2</xdr:row>
      <xdr:rowOff>0</xdr:rowOff>
    </xdr:from>
    <xdr:to>
      <xdr:col>33</xdr:col>
      <xdr:colOff>247650</xdr:colOff>
      <xdr:row>16</xdr:row>
      <xdr:rowOff>133350</xdr:rowOff>
    </xdr:to>
    <xdr:graphicFrame macro="">
      <xdr:nvGraphicFramePr>
        <xdr:cNvPr id="6" name="Çizelge 28">
          <a:extLst>
            <a:ext uri="{FF2B5EF4-FFF2-40B4-BE49-F238E27FC236}">
              <a16:creationId xmlns:a16="http://schemas.microsoft.com/office/drawing/2014/main" id="{3525188B-26FA-C6BC-3E38-DAD7BB47DA06}"/>
            </a:ext>
            <a:ext uri="{147F2762-F138-4A5C-976F-8EAC2B608ADB}">
              <a16:predDERef xmlns:a16="http://schemas.microsoft.com/office/drawing/2014/main" pred="{D0FA5C09-3604-88D5-F1C2-8DCF9BFF5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352425</xdr:colOff>
      <xdr:row>18</xdr:row>
      <xdr:rowOff>133350</xdr:rowOff>
    </xdr:from>
    <xdr:to>
      <xdr:col>33</xdr:col>
      <xdr:colOff>276225</xdr:colOff>
      <xdr:row>33</xdr:row>
      <xdr:rowOff>114300</xdr:rowOff>
    </xdr:to>
    <xdr:graphicFrame macro="">
      <xdr:nvGraphicFramePr>
        <xdr:cNvPr id="8" name="Çizelge 31">
          <a:extLst>
            <a:ext uri="{FF2B5EF4-FFF2-40B4-BE49-F238E27FC236}">
              <a16:creationId xmlns:a16="http://schemas.microsoft.com/office/drawing/2014/main" id="{698A8427-C97A-D7A9-530B-67426935772C}"/>
            </a:ext>
            <a:ext uri="{147F2762-F138-4A5C-976F-8EAC2B608ADB}">
              <a16:predDERef xmlns:a16="http://schemas.microsoft.com/office/drawing/2014/main" pred="{3525188B-26FA-C6BC-3E38-DAD7BB47D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352425</xdr:colOff>
      <xdr:row>36</xdr:row>
      <xdr:rowOff>76200</xdr:rowOff>
    </xdr:from>
    <xdr:to>
      <xdr:col>33</xdr:col>
      <xdr:colOff>276225</xdr:colOff>
      <xdr:row>51</xdr:row>
      <xdr:rowOff>66675</xdr:rowOff>
    </xdr:to>
    <xdr:graphicFrame macro="">
      <xdr:nvGraphicFramePr>
        <xdr:cNvPr id="10" name="Çizelge 32">
          <a:extLst>
            <a:ext uri="{FF2B5EF4-FFF2-40B4-BE49-F238E27FC236}">
              <a16:creationId xmlns:a16="http://schemas.microsoft.com/office/drawing/2014/main" id="{9A57AD34-B9BE-2760-072B-190E9ED958FE}"/>
            </a:ext>
            <a:ext uri="{147F2762-F138-4A5C-976F-8EAC2B608ADB}">
              <a16:predDERef xmlns:a16="http://schemas.microsoft.com/office/drawing/2014/main" pred="{698A8427-C97A-D7A9-530B-674269357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371475</xdr:colOff>
      <xdr:row>2</xdr:row>
      <xdr:rowOff>0</xdr:rowOff>
    </xdr:from>
    <xdr:to>
      <xdr:col>23</xdr:col>
      <xdr:colOff>514350</xdr:colOff>
      <xdr:row>16</xdr:row>
      <xdr:rowOff>123825</xdr:rowOff>
    </xdr:to>
    <xdr:sp macro="" textlink="">
      <xdr:nvSpPr>
        <xdr:cNvPr id="90" name="Dikdörtgen 33">
          <a:extLst>
            <a:ext uri="{FF2B5EF4-FFF2-40B4-BE49-F238E27FC236}">
              <a16:creationId xmlns:a16="http://schemas.microsoft.com/office/drawing/2014/main" id="{F9415AEE-7ADB-B146-CFED-65CD7D612587}"/>
            </a:ext>
            <a:ext uri="{147F2762-F138-4A5C-976F-8EAC2B608ADB}">
              <a16:predDERef xmlns:a16="http://schemas.microsoft.com/office/drawing/2014/main" pred="{9A57AD34-B9BE-2760-072B-190E9ED958FE}"/>
            </a:ext>
          </a:extLst>
        </xdr:cNvPr>
        <xdr:cNvSpPr/>
      </xdr:nvSpPr>
      <xdr:spPr>
        <a:xfrm>
          <a:off x="15744825" y="0"/>
          <a:ext cx="4791075" cy="2733675"/>
        </a:xfrm>
        <a:prstGeom prst="rect">
          <a:avLst/>
        </a:prstGeom>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Intel’s revenue profile shows a mild upward trend from 2020 to 2022, followed by a slight decline in 2023 and 2024. Despite the moderate revenue growth early in the period, Intel has faced increasing competitive pressure in both PC and data-center markets, which has slowed long-term top-line expansion.</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On the cost side, Cost of Sales remains consistently high, reflecting Intel’s capital-intensive manufacturing model and the rising cost of producing advanced nodes. The gap between revenue and cost of sales does not widen materially over the five years, which indicates limited gross margin expansion capability and highlights the company’s structural challenges.</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Overall, the revenue–cost relationship suggests that Intel is struggling to generate strong operating leverage. While revenues are relatively stable, the persistent cost burden continues to compress profitability—especially compared to fabless peers or higher-margin manufacturers in the sector.</a:t>
          </a:r>
        </a:p>
      </xdr:txBody>
    </xdr:sp>
    <xdr:clientData/>
  </xdr:twoCellAnchor>
  <xdr:twoCellAnchor>
    <xdr:from>
      <xdr:col>15</xdr:col>
      <xdr:colOff>428625</xdr:colOff>
      <xdr:row>19</xdr:row>
      <xdr:rowOff>104775</xdr:rowOff>
    </xdr:from>
    <xdr:to>
      <xdr:col>23</xdr:col>
      <xdr:colOff>552450</xdr:colOff>
      <xdr:row>34</xdr:row>
      <xdr:rowOff>57150</xdr:rowOff>
    </xdr:to>
    <xdr:sp macro="" textlink="">
      <xdr:nvSpPr>
        <xdr:cNvPr id="96" name="Dikdörtgen 34">
          <a:extLst>
            <a:ext uri="{FF2B5EF4-FFF2-40B4-BE49-F238E27FC236}">
              <a16:creationId xmlns:a16="http://schemas.microsoft.com/office/drawing/2014/main" id="{8DF9B45F-A3DC-9A9D-552A-3F02EE9372C9}"/>
            </a:ext>
            <a:ext uri="{147F2762-F138-4A5C-976F-8EAC2B608ADB}">
              <a16:predDERef xmlns:a16="http://schemas.microsoft.com/office/drawing/2014/main" pred="{F9415AEE-7ADB-B146-CFED-65CD7D612587}"/>
            </a:ext>
          </a:extLst>
        </xdr:cNvPr>
        <xdr:cNvSpPr/>
      </xdr:nvSpPr>
      <xdr:spPr>
        <a:xfrm>
          <a:off x="15801975" y="3257550"/>
          <a:ext cx="4772025" cy="2714625"/>
        </a:xfrm>
        <a:prstGeom prst="rect">
          <a:avLst/>
        </a:prstGeom>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Operating expenses remain high across the five-year period, with R&amp;D consistently representing the largest cost component. Spending rises sharply from 2020 to 2022 as Intel accelerates investment in advanced process technologies and transitions toward its Foundry strategy.</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SG&amp;A expenses also increase gradually, reflecting restructuring efforts, higher administrative complexity, and competitive pressures in Intel’s core markets.</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Overall, the trend shows a company heavily investing in future technology capabilities, but at the cost of short-term profitability.</a:t>
          </a:r>
        </a:p>
      </xdr:txBody>
    </xdr:sp>
    <xdr:clientData/>
  </xdr:twoCellAnchor>
  <xdr:twoCellAnchor>
    <xdr:from>
      <xdr:col>15</xdr:col>
      <xdr:colOff>447675</xdr:colOff>
      <xdr:row>36</xdr:row>
      <xdr:rowOff>171450</xdr:rowOff>
    </xdr:from>
    <xdr:to>
      <xdr:col>23</xdr:col>
      <xdr:colOff>571500</xdr:colOff>
      <xdr:row>51</xdr:row>
      <xdr:rowOff>133350</xdr:rowOff>
    </xdr:to>
    <xdr:sp macro="" textlink="">
      <xdr:nvSpPr>
        <xdr:cNvPr id="106" name="Dikdörtgen 35">
          <a:extLst>
            <a:ext uri="{FF2B5EF4-FFF2-40B4-BE49-F238E27FC236}">
              <a16:creationId xmlns:a16="http://schemas.microsoft.com/office/drawing/2014/main" id="{737F9582-99AE-4A9A-9EF2-87201813B382}"/>
            </a:ext>
            <a:ext uri="{147F2762-F138-4A5C-976F-8EAC2B608ADB}">
              <a16:predDERef xmlns:a16="http://schemas.microsoft.com/office/drawing/2014/main" pred="{8DF9B45F-A3DC-9A9D-552A-3F02EE9372C9}"/>
            </a:ext>
          </a:extLst>
        </xdr:cNvPr>
        <xdr:cNvSpPr/>
      </xdr:nvSpPr>
      <xdr:spPr>
        <a:xfrm>
          <a:off x="15821025" y="6448425"/>
          <a:ext cx="4772025" cy="2714625"/>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Intel’s net profit margin shows a steep decline early in the period, driven by falling gross margins, underutilized factories, and high restructuring and investment costs. Profitability starts recovering after 2022 as cost pressures ease and operational efficiency improves. However, margins remain well below Intel’s historical levels, reflecting the ongoing challenges of its multi-year transformation and increased competition in core markets.</a:t>
          </a:r>
        </a:p>
      </xdr:txBody>
    </xdr:sp>
    <xdr:clientData/>
  </xdr:twoCellAnchor>
  <xdr:twoCellAnchor>
    <xdr:from>
      <xdr:col>15</xdr:col>
      <xdr:colOff>466725</xdr:colOff>
      <xdr:row>54</xdr:row>
      <xdr:rowOff>38100</xdr:rowOff>
    </xdr:from>
    <xdr:to>
      <xdr:col>24</xdr:col>
      <xdr:colOff>9525</xdr:colOff>
      <xdr:row>70</xdr:row>
      <xdr:rowOff>38100</xdr:rowOff>
    </xdr:to>
    <xdr:sp macro="" textlink="">
      <xdr:nvSpPr>
        <xdr:cNvPr id="107" name="Dikdörtgen 36">
          <a:extLst>
            <a:ext uri="{FF2B5EF4-FFF2-40B4-BE49-F238E27FC236}">
              <a16:creationId xmlns:a16="http://schemas.microsoft.com/office/drawing/2014/main" id="{2772AF83-915A-46A7-AB53-0783A7D6BFFA}"/>
            </a:ext>
            <a:ext uri="{147F2762-F138-4A5C-976F-8EAC2B608ADB}">
              <a16:predDERef xmlns:a16="http://schemas.microsoft.com/office/drawing/2014/main" pred="{737F9582-99AE-4A9A-9EF2-87201813B382}"/>
            </a:ext>
          </a:extLst>
        </xdr:cNvPr>
        <xdr:cNvSpPr/>
      </xdr:nvSpPr>
      <xdr:spPr>
        <a:xfrm>
          <a:off x="15840075" y="9610725"/>
          <a:ext cx="4772025" cy="2714625"/>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Intel’s capital expenditures remain extremely high throughout the five-year period as the company invests heavily in manufacturing capacity, leading-edge process technology, and its long-term Foundry strategy. Spending peaks around 2022–2023 when Intel accelerates construction of new fabs and upgrades existing facilities to prepare for advanced nodes such as Intel 7, Intel 4, and Intel 3.</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Although CapEx begins to decline slightly in 2024, the overall level remains far above historical norms, indicating that Intel is still in the middle of a major, multi-year investment cycle. These high outflows place pressure on short-term free cash flow but are intended to rebuild manufacturing leadership and secure future competitiveness.</a:t>
          </a:r>
        </a:p>
      </xdr:txBody>
    </xdr:sp>
    <xdr:clientData/>
  </xdr:twoCellAnchor>
  <xdr:twoCellAnchor>
    <xdr:from>
      <xdr:col>33</xdr:col>
      <xdr:colOff>419100</xdr:colOff>
      <xdr:row>2</xdr:row>
      <xdr:rowOff>0</xdr:rowOff>
    </xdr:from>
    <xdr:to>
      <xdr:col>41</xdr:col>
      <xdr:colOff>561975</xdr:colOff>
      <xdr:row>16</xdr:row>
      <xdr:rowOff>123825</xdr:rowOff>
    </xdr:to>
    <xdr:sp macro="" textlink="">
      <xdr:nvSpPr>
        <xdr:cNvPr id="7" name="Dikdörtgen 37">
          <a:extLst>
            <a:ext uri="{FF2B5EF4-FFF2-40B4-BE49-F238E27FC236}">
              <a16:creationId xmlns:a16="http://schemas.microsoft.com/office/drawing/2014/main" id="{4D276757-24C1-4808-A031-14E02FD07ACA}"/>
            </a:ext>
            <a:ext uri="{147F2762-F138-4A5C-976F-8EAC2B608ADB}">
              <a16:predDERef xmlns:a16="http://schemas.microsoft.com/office/drawing/2014/main" pred="{2772AF83-915A-46A7-AB53-0783A7D6BFFA}"/>
            </a:ext>
          </a:extLst>
        </xdr:cNvPr>
        <xdr:cNvSpPr/>
      </xdr:nvSpPr>
      <xdr:spPr>
        <a:xfrm>
          <a:off x="26250900" y="0"/>
          <a:ext cx="4791075" cy="2781300"/>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Intel’s total operating expenses remain high and relatively volatile across the five-year period. The peak in 2022 reflects increased R&amp;D spending, accelerated process-node development, and restructuring efforts tied to Intel’s manufacturing transformation. Although expenses ease slightly after 2022, they continue to stay above early-year levels, indicating ongoing investment in advanced technologies and future production capabilities.</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Overall, Intel’s elevated operating cost structure highlights the company’s strategic shift toward long-term capacity expansion and technology leadership—yet it also places pressure on operating margins during this transition.</a:t>
          </a:r>
        </a:p>
      </xdr:txBody>
    </xdr:sp>
    <xdr:clientData/>
  </xdr:twoCellAnchor>
  <xdr:twoCellAnchor>
    <xdr:from>
      <xdr:col>33</xdr:col>
      <xdr:colOff>523875</xdr:colOff>
      <xdr:row>18</xdr:row>
      <xdr:rowOff>123825</xdr:rowOff>
    </xdr:from>
    <xdr:to>
      <xdr:col>42</xdr:col>
      <xdr:colOff>85725</xdr:colOff>
      <xdr:row>33</xdr:row>
      <xdr:rowOff>85725</xdr:rowOff>
    </xdr:to>
    <xdr:sp macro="" textlink="">
      <xdr:nvSpPr>
        <xdr:cNvPr id="9" name="Dikdörtgen 38">
          <a:extLst>
            <a:ext uri="{FF2B5EF4-FFF2-40B4-BE49-F238E27FC236}">
              <a16:creationId xmlns:a16="http://schemas.microsoft.com/office/drawing/2014/main" id="{9DDCADC3-673E-4E46-9B05-6D7B2FFE679D}"/>
            </a:ext>
            <a:ext uri="{147F2762-F138-4A5C-976F-8EAC2B608ADB}">
              <a16:predDERef xmlns:a16="http://schemas.microsoft.com/office/drawing/2014/main" pred="{4D276757-24C1-4808-A031-14E02FD07ACA}"/>
            </a:ext>
          </a:extLst>
        </xdr:cNvPr>
        <xdr:cNvSpPr/>
      </xdr:nvSpPr>
      <xdr:spPr>
        <a:xfrm>
          <a:off x="26355675" y="3152775"/>
          <a:ext cx="4791075" cy="2819400"/>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Intel’s profitability metrics weaken significantly over the five-year period. Gross profit margins decline steadily as manufacturing costs rise and competitive pressure from AMD, Apple Silicon, and TSMC limits pricing power. Operating margins follow a similar downward path, falling sharply into negative territory due to high restructuring expenses, elevated R&amp;D spending, and underutilized fab capacity during Intel’s modernization phase.</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Although there is a slight improvement toward 2024, both margins remain far below Intel’s historical levels. This trend underscores the financial impact of Intel’s multi-year transformation and its ongoing efforts to regain process leadership.</a:t>
          </a:r>
        </a:p>
      </xdr:txBody>
    </xdr:sp>
    <xdr:clientData/>
  </xdr:twoCellAnchor>
  <xdr:twoCellAnchor>
    <xdr:from>
      <xdr:col>33</xdr:col>
      <xdr:colOff>561975</xdr:colOff>
      <xdr:row>36</xdr:row>
      <xdr:rowOff>85725</xdr:rowOff>
    </xdr:from>
    <xdr:to>
      <xdr:col>42</xdr:col>
      <xdr:colOff>123825</xdr:colOff>
      <xdr:row>51</xdr:row>
      <xdr:rowOff>66675</xdr:rowOff>
    </xdr:to>
    <xdr:sp macro="" textlink="">
      <xdr:nvSpPr>
        <xdr:cNvPr id="122" name="Dikdörtgen 39">
          <a:extLst>
            <a:ext uri="{FF2B5EF4-FFF2-40B4-BE49-F238E27FC236}">
              <a16:creationId xmlns:a16="http://schemas.microsoft.com/office/drawing/2014/main" id="{6D324E8A-0373-4E44-A56A-D0D5896B0285}"/>
            </a:ext>
            <a:ext uri="{147F2762-F138-4A5C-976F-8EAC2B608ADB}">
              <a16:predDERef xmlns:a16="http://schemas.microsoft.com/office/drawing/2014/main" pred="{9DDCADC3-673E-4E46-9B05-6D7B2FFE679D}"/>
            </a:ext>
          </a:extLst>
        </xdr:cNvPr>
        <xdr:cNvSpPr/>
      </xdr:nvSpPr>
      <xdr:spPr>
        <a:xfrm>
          <a:off x="26393775" y="6362700"/>
          <a:ext cx="4791075" cy="2733675"/>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Intel’s free cash flow fluctuates significantly across the five-year period as the company undergoes one of the largest investment cycles in its history. FCF weakens sharply in the early years due to heavy CapEx spending, restructuring efforts, and declining profitability.</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The stronger FCF contribution in 2021 reflects improved operating performance and lower cash outflows relative to later years. Although FCF shows partial recovery in 2024, overall levels remain subdued, highlighting the financial strain of Intel’s multi-year manufacturing expansion and technology transition.</a:t>
          </a:r>
        </a:p>
      </xdr:txBody>
    </xdr:sp>
    <xdr:clientData/>
  </xdr:twoCellAnchor>
  <xdr:twoCellAnchor>
    <xdr:from>
      <xdr:col>7</xdr:col>
      <xdr:colOff>266700</xdr:colOff>
      <xdr:row>18</xdr:row>
      <xdr:rowOff>152400</xdr:rowOff>
    </xdr:from>
    <xdr:to>
      <xdr:col>15</xdr:col>
      <xdr:colOff>276225</xdr:colOff>
      <xdr:row>34</xdr:row>
      <xdr:rowOff>95250</xdr:rowOff>
    </xdr:to>
    <xdr:graphicFrame macro="">
      <xdr:nvGraphicFramePr>
        <xdr:cNvPr id="3" name="Çizelge 2">
          <a:extLst>
            <a:ext uri="{FF2B5EF4-FFF2-40B4-BE49-F238E27FC236}">
              <a16:creationId xmlns:a16="http://schemas.microsoft.com/office/drawing/2014/main" id="{CE9E4706-0763-05C5-4DC3-7F046AEF3164}"/>
            </a:ext>
            <a:ext uri="{147F2762-F138-4A5C-976F-8EAC2B608ADB}">
              <a16:predDERef xmlns:a16="http://schemas.microsoft.com/office/drawing/2014/main" pred="{6D324E8A-0373-4E44-A56A-D0D5896B0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333375</xdr:colOff>
      <xdr:row>53</xdr:row>
      <xdr:rowOff>133350</xdr:rowOff>
    </xdr:from>
    <xdr:to>
      <xdr:col>33</xdr:col>
      <xdr:colOff>476250</xdr:colOff>
      <xdr:row>71</xdr:row>
      <xdr:rowOff>133350</xdr:rowOff>
    </xdr:to>
    <xdr:graphicFrame macro="">
      <xdr:nvGraphicFramePr>
        <xdr:cNvPr id="12" name="Chart 1">
          <a:extLst>
            <a:ext uri="{FF2B5EF4-FFF2-40B4-BE49-F238E27FC236}">
              <a16:creationId xmlns:a16="http://schemas.microsoft.com/office/drawing/2014/main" id="{8A5F2A04-2770-AF0B-874C-995824A345D9}"/>
            </a:ext>
            <a:ext uri="{147F2762-F138-4A5C-976F-8EAC2B608ADB}">
              <a16:predDERef xmlns:a16="http://schemas.microsoft.com/office/drawing/2014/main" pred="{CE9E4706-0763-05C5-4DC3-7F046AEF3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76200</xdr:colOff>
      <xdr:row>53</xdr:row>
      <xdr:rowOff>38100</xdr:rowOff>
    </xdr:from>
    <xdr:to>
      <xdr:col>41</xdr:col>
      <xdr:colOff>523875</xdr:colOff>
      <xdr:row>71</xdr:row>
      <xdr:rowOff>28575</xdr:rowOff>
    </xdr:to>
    <xdr:sp macro="" textlink="">
      <xdr:nvSpPr>
        <xdr:cNvPr id="13" name="TextBox 3">
          <a:extLst>
            <a:ext uri="{FF2B5EF4-FFF2-40B4-BE49-F238E27FC236}">
              <a16:creationId xmlns:a16="http://schemas.microsoft.com/office/drawing/2014/main" id="{E158225C-EB89-9F13-5C3B-0C3F9F9D0A64}"/>
            </a:ext>
            <a:ext uri="{147F2762-F138-4A5C-976F-8EAC2B608ADB}">
              <a16:predDERef xmlns:a16="http://schemas.microsoft.com/office/drawing/2014/main" pred="{8A5F2A04-2770-AF0B-874C-995824A345D9}"/>
            </a:ext>
          </a:extLst>
        </xdr:cNvPr>
        <xdr:cNvSpPr txBox="1"/>
      </xdr:nvSpPr>
      <xdr:spPr>
        <a:xfrm>
          <a:off x="26489025" y="9734550"/>
          <a:ext cx="4514850" cy="3228975"/>
        </a:xfrm>
        <a:prstGeom prst="rect">
          <a:avLst/>
        </a:prstGeom>
        <a:solidFill>
          <a:schemeClr val="lt1"/>
        </a:solidFill>
        <a:ln w="9525" cmpd="sng">
          <a:solidFill>
            <a:schemeClr val="lt1">
              <a:shade val="50000"/>
            </a:schemeClr>
          </a:solidFill>
        </a:ln>
      </xdr:spPr>
      <xdr:txBody>
        <a:bodyPr vertOverflow="clip" horzOverflow="clip" rtlCol="0" anchor="t"/>
        <a:lstStyle/>
        <a:p>
          <a:pPr marL="0" indent="0" algn="l"/>
          <a:r>
            <a:rPr lang="en-US" sz="1100">
              <a:latin typeface="+mn-lt"/>
              <a:ea typeface="+mn-lt"/>
              <a:cs typeface="+mn-lt"/>
            </a:rPr>
            <a:t>Intel’s segment performance shows notable shifts over the past five years. CCG and DCAI were the strongest contributors in 2021, but revenue declined afterward due to weaker PC demand and competitive pressures.</a:t>
          </a:r>
        </a:p>
        <a:p>
          <a:pPr marL="0" indent="0" algn="l"/>
          <a:r>
            <a:rPr lang="en-US" sz="1100">
              <a:latin typeface="+mn-lt"/>
              <a:ea typeface="+mn-lt"/>
              <a:cs typeface="+mn-lt"/>
            </a:rPr>
            <a:t>IFS and NEX show gradual improvement in 2023–2024, though overall levels remain below pre-transition highs as Intel continues its multi-year restructuring and foundry expansion.</a:t>
          </a:r>
        </a:p>
      </xdr:txBody>
    </xdr:sp>
    <xdr:clientData/>
  </xdr:twoCellAnchor>
  <xdr:twoCellAnchor>
    <xdr:from>
      <xdr:col>0</xdr:col>
      <xdr:colOff>0</xdr:colOff>
      <xdr:row>72</xdr:row>
      <xdr:rowOff>1</xdr:rowOff>
    </xdr:from>
    <xdr:to>
      <xdr:col>3</xdr:col>
      <xdr:colOff>1476744</xdr:colOff>
      <xdr:row>82</xdr:row>
      <xdr:rowOff>73838</xdr:rowOff>
    </xdr:to>
    <xdr:sp macro="" textlink="">
      <xdr:nvSpPr>
        <xdr:cNvPr id="2" name="TextBox 7">
          <a:extLst>
            <a:ext uri="{FF2B5EF4-FFF2-40B4-BE49-F238E27FC236}">
              <a16:creationId xmlns:a16="http://schemas.microsoft.com/office/drawing/2014/main" id="{908D0E5A-B69C-7E46-8D95-ABF34016781B}"/>
            </a:ext>
            <a:ext uri="{147F2762-F138-4A5C-976F-8EAC2B608ADB}">
              <a16:predDERef xmlns:a16="http://schemas.microsoft.com/office/drawing/2014/main" pred="{88083832-C0BF-D551-7F88-8BC3EDC00D8B}"/>
            </a:ext>
          </a:extLst>
        </xdr:cNvPr>
        <xdr:cNvSpPr txBox="1"/>
      </xdr:nvSpPr>
      <xdr:spPr>
        <a:xfrm>
          <a:off x="0" y="13792792"/>
          <a:ext cx="8668488" cy="1993604"/>
        </a:xfrm>
        <a:prstGeom prst="rect">
          <a:avLst/>
        </a:prstGeom>
        <a:solidFill>
          <a:schemeClr val="bg1"/>
        </a:solidFill>
        <a:ln w="25400">
          <a:solidFill>
            <a:schemeClr val="tx1"/>
          </a:solidFill>
        </a:ln>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rgbClr val="000000"/>
              </a:solidFill>
              <a:latin typeface="Aptos Narrow" panose="020B0004020202020204" pitchFamily="34" charset="0"/>
            </a:rPr>
            <a:t>References:</a:t>
          </a:r>
          <a:r>
            <a:rPr lang="en-US" sz="1100" b="1" i="0" u="none" strike="noStrike" baseline="0">
              <a:solidFill>
                <a:srgbClr val="000000"/>
              </a:solidFill>
              <a:latin typeface="Aptos Narrow" panose="020B0004020202020204" pitchFamily="34" charset="0"/>
            </a:rPr>
            <a:t> </a:t>
          </a:r>
        </a:p>
        <a:p>
          <a:r>
            <a:rPr lang="en-IN" sz="1100" b="0" i="0" u="none" strike="noStrike">
              <a:solidFill>
                <a:schemeClr val="dk1"/>
              </a:solidFill>
              <a:effectLst/>
              <a:latin typeface="+mn-lt"/>
              <a:ea typeface="+mn-ea"/>
              <a:cs typeface="+mn-cs"/>
            </a:rPr>
            <a:t>Intel Corporation (2025) 2024 Annual Report (Form 10-K). Available at: </a:t>
          </a:r>
          <a:r>
            <a:rPr lang="en-IN" sz="1100" b="0" i="0" u="none" strike="noStrike">
              <a:solidFill>
                <a:schemeClr val="dk1"/>
              </a:solidFill>
              <a:effectLst/>
              <a:latin typeface="+mn-lt"/>
              <a:ea typeface="+mn-ea"/>
              <a:cs typeface="+mn-cs"/>
              <a:hlinkClick xmlns:r="http://schemas.openxmlformats.org/officeDocument/2006/relationships" r:id=""/>
            </a:rPr>
            <a:t>https://www.intc.com/filings-reports/annual-reports/content/0000050863-25-000009/0000050863-25-000009.pdf</a:t>
          </a:r>
          <a:r>
            <a:rPr lang="en-IN" sz="1100" b="0" i="0" u="none" strike="noStrike">
              <a:solidFill>
                <a:schemeClr val="dk1"/>
              </a:solidFill>
              <a:effectLst/>
              <a:latin typeface="+mn-lt"/>
              <a:ea typeface="+mn-ea"/>
              <a:cs typeface="+mn-cs"/>
            </a:rPr>
            <a:t> (Accessed: 7November 2025).</a:t>
          </a:r>
        </a:p>
        <a:p>
          <a:r>
            <a:rPr lang="en-IN" sz="1100" b="0" i="0" u="none" strike="noStrike">
              <a:solidFill>
                <a:schemeClr val="dk1"/>
              </a:solidFill>
              <a:effectLst/>
              <a:latin typeface="+mn-lt"/>
              <a:ea typeface="+mn-ea"/>
              <a:cs typeface="+mn-cs"/>
            </a:rPr>
            <a:t>Intel Corporation (2024) 2023 Annual Report (Form 10-K). Available at: </a:t>
          </a:r>
          <a:r>
            <a:rPr lang="en-IN" sz="1100" b="0" i="0" u="none" strike="noStrike">
              <a:solidFill>
                <a:schemeClr val="dk1"/>
              </a:solidFill>
              <a:effectLst/>
              <a:latin typeface="+mn-lt"/>
              <a:ea typeface="+mn-ea"/>
              <a:cs typeface="+mn-cs"/>
              <a:hlinkClick xmlns:r="http://schemas.openxmlformats.org/officeDocument/2006/relationships" r:id=""/>
            </a:rPr>
            <a:t>https://www.intc.com/filings-reports/annual-reports/content/0000050863-24-000010/0000050863-24-000010.pdf</a:t>
          </a:r>
          <a:r>
            <a:rPr lang="en-IN" sz="1100" b="0" i="0" u="none" strike="noStrike">
              <a:solidFill>
                <a:schemeClr val="dk1"/>
              </a:solidFill>
              <a:effectLst/>
              <a:latin typeface="+mn-lt"/>
              <a:ea typeface="+mn-ea"/>
              <a:cs typeface="+mn-cs"/>
            </a:rPr>
            <a:t> (Accessed: 7November 2025).</a:t>
          </a:r>
        </a:p>
        <a:p>
          <a:r>
            <a:rPr lang="en-IN" sz="1100" b="0" i="0" u="none" strike="noStrike">
              <a:solidFill>
                <a:schemeClr val="dk1"/>
              </a:solidFill>
              <a:effectLst/>
              <a:latin typeface="+mn-lt"/>
              <a:ea typeface="+mn-ea"/>
              <a:cs typeface="+mn-cs"/>
            </a:rPr>
            <a:t>Intel Corporation (2023) 2022 Annual Report (Form 10-K). Available at: </a:t>
          </a:r>
          <a:r>
            <a:rPr lang="en-IN" sz="1100" b="0" i="0" u="none" strike="noStrike">
              <a:solidFill>
                <a:schemeClr val="dk1"/>
              </a:solidFill>
              <a:effectLst/>
              <a:latin typeface="+mn-lt"/>
              <a:ea typeface="+mn-ea"/>
              <a:cs typeface="+mn-cs"/>
              <a:hlinkClick xmlns:r="http://schemas.openxmlformats.org/officeDocument/2006/relationships" r:id=""/>
            </a:rPr>
            <a:t>https://www.intc.com/filings-reports/annual-reports/content/0000050863-23-000006/0000050863-23-000006.pdf</a:t>
          </a:r>
          <a:r>
            <a:rPr lang="en-IN" sz="1100" b="0" i="0" u="none" strike="noStrike">
              <a:solidFill>
                <a:schemeClr val="dk1"/>
              </a:solidFill>
              <a:effectLst/>
              <a:latin typeface="+mn-lt"/>
              <a:ea typeface="+mn-ea"/>
              <a:cs typeface="+mn-cs"/>
            </a:rPr>
            <a:t> (Accessed: 7November 2025).</a:t>
          </a:r>
        </a:p>
        <a:p>
          <a:r>
            <a:rPr lang="en-IN" sz="1100" b="0" i="0" u="none" strike="noStrike">
              <a:solidFill>
                <a:schemeClr val="dk1"/>
              </a:solidFill>
              <a:effectLst/>
              <a:latin typeface="+mn-lt"/>
              <a:ea typeface="+mn-ea"/>
              <a:cs typeface="+mn-cs"/>
            </a:rPr>
            <a:t>Intel Corporation (2022) 2021 Annual Report (Form 10-K). Available at: </a:t>
          </a:r>
          <a:r>
            <a:rPr lang="en-IN" sz="1100" b="0" i="0" u="none" strike="noStrike">
              <a:solidFill>
                <a:schemeClr val="dk1"/>
              </a:solidFill>
              <a:effectLst/>
              <a:latin typeface="+mn-lt"/>
              <a:ea typeface="+mn-ea"/>
              <a:cs typeface="+mn-cs"/>
              <a:hlinkClick xmlns:r="http://schemas.openxmlformats.org/officeDocument/2006/relationships" r:id=""/>
            </a:rPr>
            <a:t>https://www.intc.com/filings-reports/annual-reports/content/0000050863-22-000007/0000050863-22-000007.pdf</a:t>
          </a:r>
          <a:r>
            <a:rPr lang="en-IN" sz="1100" b="0" i="0" u="none" strike="noStrike">
              <a:solidFill>
                <a:schemeClr val="dk1"/>
              </a:solidFill>
              <a:effectLst/>
              <a:latin typeface="+mn-lt"/>
              <a:ea typeface="+mn-ea"/>
              <a:cs typeface="+mn-cs"/>
            </a:rPr>
            <a:t> (Accessed: 7November 2025).</a:t>
          </a:r>
        </a:p>
        <a:p>
          <a:r>
            <a:rPr lang="en-IN" sz="1100" b="0" i="0" u="none" strike="noStrike">
              <a:solidFill>
                <a:schemeClr val="dk1"/>
              </a:solidFill>
              <a:effectLst/>
              <a:latin typeface="+mn-lt"/>
              <a:ea typeface="+mn-ea"/>
              <a:cs typeface="+mn-cs"/>
            </a:rPr>
            <a:t>Intel Corporation (2021) 2020 Annual Report (Form 10-K). Available at: </a:t>
          </a:r>
          <a:r>
            <a:rPr lang="en-IN" sz="1100" b="0" i="0" u="none" strike="noStrike">
              <a:solidFill>
                <a:schemeClr val="dk1"/>
              </a:solidFill>
              <a:effectLst/>
              <a:latin typeface="+mn-lt"/>
              <a:ea typeface="+mn-ea"/>
              <a:cs typeface="+mn-cs"/>
              <a:hlinkClick xmlns:r="http://schemas.openxmlformats.org/officeDocument/2006/relationships" r:id=""/>
            </a:rPr>
            <a:t>https://www.intc.com/filings-reports/annual-reports/content/0000050863-21-000010/0000050863-21-000010.pdf</a:t>
          </a:r>
          <a:r>
            <a:rPr lang="en-IN" sz="1100" b="0" i="0" u="none" strike="noStrike">
              <a:solidFill>
                <a:schemeClr val="dk1"/>
              </a:solidFill>
              <a:effectLst/>
              <a:latin typeface="+mn-lt"/>
              <a:ea typeface="+mn-ea"/>
              <a:cs typeface="+mn-cs"/>
            </a:rPr>
            <a:t> (Accessed: 7November 2025).</a:t>
          </a:r>
        </a:p>
        <a:p>
          <a:pPr marL="0" indent="0" algn="ctr"/>
          <a:endParaRPr lang="en-US" sz="1100" b="0" i="0" u="none" strike="noStrike">
            <a:solidFill>
              <a:srgbClr val="000000"/>
            </a:solidFill>
            <a:latin typeface="Aptos Narrow" panose="020B00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vewarwickac-my.sharepoint.com/personal/u5725085_live_warwick_ac_uk/Documents/AMD_Financial%20Analysis.xlsx" TargetMode="External"/><Relationship Id="rId1" Type="http://schemas.openxmlformats.org/officeDocument/2006/relationships/externalLinkPath" Target="https://livewarwickac-my.sharepoint.com/personal/u5725085_live_warwick_ac_uk/Documents/AMD_Financial%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MD"/>
      <sheetName val="Sheet1"/>
      <sheetName val="Sheet2"/>
    </sheetNames>
    <sheetDataSet>
      <sheetData sheetId="0">
        <row r="3">
          <cell r="B3">
            <v>2024</v>
          </cell>
          <cell r="C3">
            <v>2023</v>
          </cell>
          <cell r="D3">
            <v>2022</v>
          </cell>
          <cell r="E3">
            <v>2021</v>
          </cell>
          <cell r="F3">
            <v>2020</v>
          </cell>
        </row>
        <row r="8">
          <cell r="A8" t="str">
            <v>Total Operating Expenses</v>
          </cell>
          <cell r="B8">
            <v>10825</v>
          </cell>
          <cell r="C8">
            <v>5338</v>
          </cell>
          <cell r="D8">
            <v>9339</v>
          </cell>
          <cell r="E8">
            <v>4281</v>
          </cell>
          <cell r="F8">
            <v>2978</v>
          </cell>
        </row>
        <row r="10">
          <cell r="A10" t="str">
            <v>Operating Margin</v>
          </cell>
          <cell r="B10">
            <v>7.3686251696722896E-2</v>
          </cell>
          <cell r="C10">
            <v>1.7680776014109348E-2</v>
          </cell>
          <cell r="D10">
            <v>5.3557052667259859E-2</v>
          </cell>
          <cell r="E10">
            <v>0.22197882438846295</v>
          </cell>
          <cell r="F10">
            <v>0.14022329202089523</v>
          </cell>
        </row>
        <row r="15">
          <cell r="A15" t="str">
            <v>Net Profit Margin</v>
          </cell>
        </row>
        <row r="46">
          <cell r="B46">
            <v>2024</v>
          </cell>
          <cell r="C46">
            <v>2023</v>
          </cell>
          <cell r="D46">
            <v>2022</v>
          </cell>
          <cell r="E46">
            <v>2021</v>
          </cell>
          <cell r="F46">
            <v>2020</v>
          </cell>
        </row>
        <row r="47">
          <cell r="A47" t="str">
            <v>Cash from Operating Activities (CFO)</v>
          </cell>
          <cell r="B47">
            <v>3041</v>
          </cell>
          <cell r="C47">
            <v>1667</v>
          </cell>
          <cell r="D47">
            <v>3565</v>
          </cell>
          <cell r="E47">
            <v>3521</v>
          </cell>
          <cell r="F47">
            <v>1071</v>
          </cell>
        </row>
        <row r="48">
          <cell r="A48" t="str">
            <v>Cash used in Investing Activities (CapEx/CFInv)</v>
          </cell>
          <cell r="B48">
            <v>-1101</v>
          </cell>
          <cell r="C48">
            <v>-1423</v>
          </cell>
          <cell r="D48">
            <v>1999</v>
          </cell>
          <cell r="E48">
            <v>-686</v>
          </cell>
          <cell r="F48">
            <v>-952</v>
          </cell>
        </row>
        <row r="49">
          <cell r="A49" t="str">
            <v>Cash used in Financing Activities</v>
          </cell>
          <cell r="B49">
            <v>-2062</v>
          </cell>
          <cell r="C49">
            <v>-1146</v>
          </cell>
          <cell r="D49">
            <v>-3624</v>
          </cell>
          <cell r="E49">
            <v>-1895</v>
          </cell>
          <cell r="F49">
            <v>6</v>
          </cell>
        </row>
        <row r="50">
          <cell r="A50" t="str">
            <v>Free Cash Flow (FCF)</v>
          </cell>
          <cell r="B50">
            <v>1940</v>
          </cell>
          <cell r="C50">
            <v>244</v>
          </cell>
          <cell r="D50">
            <v>1566</v>
          </cell>
          <cell r="E50">
            <v>2835</v>
          </cell>
          <cell r="F50">
            <v>119</v>
          </cell>
        </row>
      </sheetData>
      <sheetData sheetId="1"/>
      <sheetData sheetId="2"/>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HUANG, TING-HSUAN (PGT)" id="{31E936DF-989C-5D4A-BB4D-FAAD85B1E478}" userId="u5750002@live.warwick.ac.uk" providerId="PeoplePicker"/>
  <person displayName="JORIGE, GEETANJALI (PGT)" id="{46A92C88-EC15-6649-98B3-FA9E947FDC80}" userId="u5753132@live.warwick.ac.uk" providerId="PeoplePicker"/>
  <person displayName="KANNAN, GURUSHARAN (PGT)" id="{CC9DB4D8-A5EB-3D44-9A92-4DA7E813073E}" userId="S::u5725085@live.warwick.ac.uk::d6f5bc73-1d77-4089-8d03-04dcb42331ab" providerId="AD"/>
  <person displayName="JORIGE, GEETANJALI (PGT)" id="{E04E64FF-E754-6247-82B8-BCF67E13E60F}" userId="S::u5753132@live.warwick.ac.uk::d0ed8437-b772-46c4-a5e1-34bc3d4bdea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9BE65A-DC88-9046-8C76-A142E600AF99}" name="Table6" displayName="Table6" ref="A4:H10" totalsRowShown="0" headerRowDxfId="16" dataDxfId="14" headerRowBorderDxfId="15" tableBorderDxfId="13" totalsRowBorderDxfId="12">
  <autoFilter ref="A4:H10" xr:uid="{6B9BE65A-DC88-9046-8C76-A142E600AF99}"/>
  <tableColumns count="8">
    <tableColumn id="1" xr3:uid="{07303A5C-AB86-E144-BE06-7519EFB3D110}" name="Companies (in USD millions)" dataDxfId="11"/>
    <tableColumn id="2" xr3:uid="{61E69997-827B-0F43-8AAD-3764433675C3}" name="2024" dataDxfId="10"/>
    <tableColumn id="3" xr3:uid="{815CE864-D371-7845-A31D-F3924F843981}" name="2023" dataDxfId="9"/>
    <tableColumn id="4" xr3:uid="{83BB2C86-C930-C744-A854-B683503AFDC0}" name="2022" dataDxfId="8"/>
    <tableColumn id="5" xr3:uid="{402BBF78-55FB-E349-ACBA-240049B1A4FD}" name="2021" dataDxfId="7"/>
    <tableColumn id="6" xr3:uid="{47B40D9F-14A8-004C-B878-EE6A8CD169D8}" name="2020" dataDxfId="6"/>
    <tableColumn id="7" xr3:uid="{893CE5A3-7AB8-9A44-BD30-3783F0C2BDE7}" name="AVG" dataDxfId="5">
      <calculatedColumnFormula>AVERAGE(Table6[[#This Row],[2024]:[2020]])</calculatedColumnFormula>
    </tableColumn>
    <tableColumn id="8" xr3:uid="{F732BE29-B861-A744-AA5C-1BD9E0614952}" name="RANK" dataDxfId="4"/>
  </tableColumns>
  <tableStyleInfo name="TableStyleLight1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71" dT="2025-11-26T16:37:46.60" personId="{CC9DB4D8-A5EB-3D44-9A92-4DA7E813073E}" id="{18BFEF4E-192F-174C-B641-9FA4E52D029D}">
    <text>add YoY growth for metrics same as in AMD @JORIGE, GEETANJALI (PGT) and @HUANG, TING-HSUAN (PGT)</text>
    <mentions>
      <mention mentionpersonId="{46A92C88-EC15-6649-98B3-FA9E947FDC80}" mentionId="{2CFEA240-3F70-9041-81C1-2CB6E8423BF5}" startIndex="42" length="25"/>
      <mention mentionpersonId="{31E936DF-989C-5D4A-BB4D-FAAD85B1E478}" mentionId="{8B90AFFB-3BB6-864F-80C0-DD0CB9B27813}" startIndex="72" length="24"/>
    </mentions>
  </threadedComment>
  <threadedComment ref="H78" dT="2025-11-26T16:37:46.60" personId="{CC9DB4D8-A5EB-3D44-9A92-4DA7E813073E}" id="{7017607A-624C-2E4D-92A6-1D2CE975BF44}">
    <text>add YoY growth for metrics same as in AMD @JORIGE, GEETANJALI (PGT) and @HUANG, TING-HSUAN (PGT)</text>
    <mentions>
      <mention mentionpersonId="{46A92C88-EC15-6649-98B3-FA9E947FDC80}" mentionId="{755E41E9-E369-FF48-9208-03F470A2D5F6}" startIndex="42" length="25"/>
      <mention mentionpersonId="{31E936DF-989C-5D4A-BB4D-FAAD85B1E478}" mentionId="{0AEF4758-9D7C-5640-B6D0-5283A5C2E8E7}" startIndex="72" length="24"/>
    </mentions>
  </threadedComment>
  <threadedComment ref="H78" dT="2025-11-28T11:35:04.92" personId="{E04E64FF-E754-6247-82B8-BCF67E13E60F}" id="{04D5B932-C84B-44DA-ADCE-D8BE8826A7F3}" parentId="{7017607A-624C-2E4D-92A6-1D2CE975BF44}">
    <text xml:space="preserve">all done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0A7F-6877-4EF9-8001-404AF4D1AEE9}">
  <dimension ref="A1:T200"/>
  <sheetViews>
    <sheetView topLeftCell="J2" zoomScale="92" zoomScaleNormal="50" workbookViewId="0">
      <selection activeCell="H13" sqref="H13"/>
    </sheetView>
  </sheetViews>
  <sheetFormatPr baseColWidth="10" defaultColWidth="8.6640625" defaultRowHeight="14" x14ac:dyDescent="0.15"/>
  <cols>
    <col min="1" max="1" width="35.5" style="72" customWidth="1"/>
    <col min="2" max="6" width="15.33203125" style="72" customWidth="1"/>
    <col min="7" max="8" width="14.6640625" style="72" customWidth="1"/>
    <col min="9" max="9" width="10.33203125" style="72" bestFit="1" customWidth="1"/>
    <col min="10" max="10" width="19" style="72" customWidth="1"/>
    <col min="11" max="11" width="11.33203125" style="72" bestFit="1" customWidth="1"/>
    <col min="12" max="12" width="12.33203125" style="72" bestFit="1" customWidth="1"/>
    <col min="13" max="15" width="11.33203125" style="72" bestFit="1" customWidth="1"/>
    <col min="16" max="16" width="12.1640625" style="72" customWidth="1"/>
    <col min="17" max="20" width="10" style="72" customWidth="1"/>
    <col min="21" max="16383" width="8.6640625" style="72"/>
    <col min="16384" max="16384" width="8.6640625" style="72" bestFit="1"/>
  </cols>
  <sheetData>
    <row r="1" spans="1:9" ht="38" customHeight="1" thickBot="1" x14ac:dyDescent="0.2">
      <c r="A1" s="288" t="s">
        <v>0</v>
      </c>
      <c r="B1" s="289"/>
      <c r="C1" s="289"/>
      <c r="D1" s="289"/>
      <c r="E1" s="289"/>
      <c r="F1" s="289"/>
      <c r="G1" s="289"/>
      <c r="H1" s="289"/>
      <c r="I1" s="290"/>
    </row>
    <row r="3" spans="1:9" ht="16" x14ac:dyDescent="0.2">
      <c r="A3" s="202" t="s">
        <v>1</v>
      </c>
      <c r="B3" s="203"/>
      <c r="C3" s="203"/>
      <c r="D3" s="203"/>
      <c r="E3" s="203"/>
      <c r="F3" s="203"/>
      <c r="G3" s="203"/>
      <c r="H3" s="120"/>
    </row>
    <row r="4" spans="1:9" x14ac:dyDescent="0.15">
      <c r="A4" s="161" t="s">
        <v>2</v>
      </c>
      <c r="B4" s="161" t="s">
        <v>3</v>
      </c>
      <c r="C4" s="161" t="s">
        <v>4</v>
      </c>
      <c r="D4" s="161" t="s">
        <v>5</v>
      </c>
      <c r="E4" s="161" t="s">
        <v>6</v>
      </c>
      <c r="F4" s="161" t="s">
        <v>7</v>
      </c>
      <c r="G4" s="161" t="s">
        <v>8</v>
      </c>
      <c r="H4" s="161" t="s">
        <v>9</v>
      </c>
    </row>
    <row r="5" spans="1:9" x14ac:dyDescent="0.15">
      <c r="A5" s="165" t="s">
        <v>10</v>
      </c>
      <c r="B5" s="75">
        <f>NVIDIA!B6</f>
        <v>60922</v>
      </c>
      <c r="C5" s="75">
        <f>NVIDIA!C6</f>
        <v>26974</v>
      </c>
      <c r="D5" s="75">
        <f>NVIDIA!D6</f>
        <v>26914</v>
      </c>
      <c r="E5" s="75">
        <f>NVIDIA!E6</f>
        <v>16675</v>
      </c>
      <c r="F5" s="75">
        <f>NVIDIA!F6</f>
        <v>10918</v>
      </c>
      <c r="G5" s="77">
        <f>AVERAGE(Table6[[#This Row],[2024]:[2020]])</f>
        <v>28480.6</v>
      </c>
      <c r="H5" s="77">
        <v>4</v>
      </c>
    </row>
    <row r="6" spans="1:9" x14ac:dyDescent="0.15">
      <c r="A6" s="165" t="s">
        <v>11</v>
      </c>
      <c r="B6" s="76">
        <f>AMD!B6</f>
        <v>25785</v>
      </c>
      <c r="C6" s="76">
        <f>AMD!C6</f>
        <v>22680</v>
      </c>
      <c r="D6" s="76">
        <f>AMD!D6</f>
        <v>23601</v>
      </c>
      <c r="E6" s="76">
        <f>AMD!E6</f>
        <v>16434</v>
      </c>
      <c r="F6" s="76">
        <f>AMD!F6</f>
        <v>9763</v>
      </c>
      <c r="G6" s="77">
        <f>AVERAGE(Table6[[#This Row],[2024]:[2020]])</f>
        <v>19652.599999999999</v>
      </c>
      <c r="H6" s="77">
        <v>5</v>
      </c>
    </row>
    <row r="7" spans="1:9" x14ac:dyDescent="0.15">
      <c r="A7" s="165" t="s">
        <v>12</v>
      </c>
      <c r="B7" s="75">
        <f>Qualcomm!B5</f>
        <v>38962</v>
      </c>
      <c r="C7" s="75">
        <f>Qualcomm!C5</f>
        <v>35820</v>
      </c>
      <c r="D7" s="75">
        <f>Qualcomm!D5</f>
        <v>44200</v>
      </c>
      <c r="E7" s="75">
        <f>Qualcomm!E5</f>
        <v>33566</v>
      </c>
      <c r="F7" s="75">
        <f>Qualcomm!F5</f>
        <v>23531</v>
      </c>
      <c r="G7" s="77">
        <f>AVERAGE(Table6[[#This Row],[2024]:[2020]])</f>
        <v>35215.800000000003</v>
      </c>
      <c r="H7" s="77">
        <v>3</v>
      </c>
    </row>
    <row r="8" spans="1:9" x14ac:dyDescent="0.15">
      <c r="A8" s="165" t="s">
        <v>13</v>
      </c>
      <c r="B8" s="78">
        <f>ARM!B7</f>
        <v>4007</v>
      </c>
      <c r="C8" s="78">
        <f>ARM!C7</f>
        <v>3233</v>
      </c>
      <c r="D8" s="78">
        <f>ARM!D7</f>
        <v>2679</v>
      </c>
      <c r="E8" s="78">
        <f>ARM!E7</f>
        <v>2703</v>
      </c>
      <c r="F8" s="78">
        <f>ARM!F7</f>
        <v>2027</v>
      </c>
      <c r="G8" s="77">
        <f>AVERAGE(Table6[[#This Row],[2024]:[2020]])</f>
        <v>2929.8</v>
      </c>
      <c r="H8" s="77">
        <v>6</v>
      </c>
    </row>
    <row r="9" spans="1:9" x14ac:dyDescent="0.15">
      <c r="A9" s="165" t="s">
        <v>14</v>
      </c>
      <c r="B9" s="79">
        <f>TSMC!B4*32.108</f>
        <v>92930.184399999998</v>
      </c>
      <c r="C9" s="79">
        <f>TSMC!C4*31.15</f>
        <v>67336.954999999987</v>
      </c>
      <c r="D9" s="79">
        <f>TSMC!D4*29.777</f>
        <v>67412.150300000008</v>
      </c>
      <c r="E9" s="79">
        <f>TSMC!E4*28.022</f>
        <v>44482.122799999997</v>
      </c>
      <c r="F9" s="79">
        <f>TSMC!F4*29.578</f>
        <v>39613.815399999999</v>
      </c>
      <c r="G9" s="77">
        <f>AVERAGE(Table6[[#This Row],[2024]:[2020]])</f>
        <v>62355.045579999998</v>
      </c>
      <c r="H9" s="77">
        <v>2</v>
      </c>
    </row>
    <row r="10" spans="1:9" x14ac:dyDescent="0.15">
      <c r="A10" s="166" t="s">
        <v>15</v>
      </c>
      <c r="B10" s="80">
        <f>Intel!B5</f>
        <v>53101</v>
      </c>
      <c r="C10" s="80">
        <f>Intel!C5</f>
        <v>54228</v>
      </c>
      <c r="D10" s="80">
        <f>Intel!D5</f>
        <v>63054</v>
      </c>
      <c r="E10" s="80">
        <f>Intel!E5</f>
        <v>79024</v>
      </c>
      <c r="F10" s="80">
        <f>Intel!F5</f>
        <v>77867</v>
      </c>
      <c r="G10" s="77">
        <f>AVERAGE(Table6[[#This Row],[2024]:[2020]])</f>
        <v>65454.8</v>
      </c>
      <c r="H10" s="77">
        <v>1</v>
      </c>
    </row>
    <row r="12" spans="1:9" ht="16" x14ac:dyDescent="0.2">
      <c r="A12" s="200" t="s">
        <v>16</v>
      </c>
      <c r="B12" s="200"/>
      <c r="C12" s="200"/>
      <c r="D12" s="200"/>
      <c r="E12" s="200"/>
      <c r="F12" s="200"/>
      <c r="G12" s="200"/>
    </row>
    <row r="13" spans="1:9" x14ac:dyDescent="0.15">
      <c r="A13" s="167" t="s">
        <v>17</v>
      </c>
      <c r="B13" s="167" t="s">
        <v>18</v>
      </c>
      <c r="C13" s="167" t="s">
        <v>19</v>
      </c>
      <c r="D13" s="167" t="s">
        <v>20</v>
      </c>
      <c r="E13" s="167" t="s">
        <v>21</v>
      </c>
      <c r="F13" s="167" t="s">
        <v>22</v>
      </c>
      <c r="G13" s="167" t="s">
        <v>9</v>
      </c>
      <c r="H13" s="82"/>
    </row>
    <row r="14" spans="1:9" x14ac:dyDescent="0.15">
      <c r="A14" s="162" t="s">
        <v>10</v>
      </c>
      <c r="B14" s="73">
        <f t="shared" ref="B14:E19" si="0">B5/C5-1</f>
        <v>1.2585452658115224</v>
      </c>
      <c r="C14" s="73">
        <f t="shared" si="0"/>
        <v>2.2293230289069932E-3</v>
      </c>
      <c r="D14" s="73">
        <f t="shared" si="0"/>
        <v>0.61403298350824587</v>
      </c>
      <c r="E14" s="73">
        <f t="shared" si="0"/>
        <v>0.52729437625938824</v>
      </c>
      <c r="F14" s="73">
        <f t="shared" ref="F14:F19" si="1" xml:space="preserve"> (B5 / F5)^(1/4) - 1</f>
        <v>0.536943015184286</v>
      </c>
      <c r="G14" s="89">
        <f>RANK(F14,F14:F19,0)</f>
        <v>1</v>
      </c>
    </row>
    <row r="15" spans="1:9" x14ac:dyDescent="0.15">
      <c r="A15" s="162" t="s">
        <v>11</v>
      </c>
      <c r="B15" s="74">
        <f t="shared" si="0"/>
        <v>0.13690476190476186</v>
      </c>
      <c r="C15" s="74">
        <f t="shared" si="0"/>
        <v>-3.9023770179229644E-2</v>
      </c>
      <c r="D15" s="74">
        <f t="shared" si="0"/>
        <v>0.43610806863818907</v>
      </c>
      <c r="E15" s="74">
        <f t="shared" si="0"/>
        <v>0.68329406944586712</v>
      </c>
      <c r="F15" s="73">
        <f t="shared" si="1"/>
        <v>0.2748114678385285</v>
      </c>
      <c r="G15" s="89">
        <f>RANK(F15,F14:F19,0)</f>
        <v>2</v>
      </c>
    </row>
    <row r="16" spans="1:9" x14ac:dyDescent="0.15">
      <c r="A16" s="162" t="s">
        <v>12</v>
      </c>
      <c r="B16" s="73">
        <f t="shared" si="0"/>
        <v>8.7716359575656044E-2</v>
      </c>
      <c r="C16" s="73">
        <f t="shared" si="0"/>
        <v>-0.18959276018099547</v>
      </c>
      <c r="D16" s="73">
        <f t="shared" si="0"/>
        <v>0.31680867544539115</v>
      </c>
      <c r="E16" s="73">
        <f t="shared" si="0"/>
        <v>0.42645871403680258</v>
      </c>
      <c r="F16" s="73">
        <f t="shared" si="1"/>
        <v>0.13435819932195092</v>
      </c>
      <c r="G16" s="89">
        <v>3</v>
      </c>
    </row>
    <row r="17" spans="1:9" x14ac:dyDescent="0.15">
      <c r="A17" s="162" t="s">
        <v>13</v>
      </c>
      <c r="B17" s="73">
        <f t="shared" si="0"/>
        <v>0.23940612434271569</v>
      </c>
      <c r="C17" s="73">
        <f t="shared" si="0"/>
        <v>0.20679357969391554</v>
      </c>
      <c r="D17" s="73">
        <f t="shared" si="0"/>
        <v>-8.8790233074361735E-3</v>
      </c>
      <c r="E17" s="73">
        <f t="shared" si="0"/>
        <v>0.33349777997039953</v>
      </c>
      <c r="F17" s="73">
        <f t="shared" si="1"/>
        <v>0.18574526325893514</v>
      </c>
      <c r="G17" s="89">
        <v>4</v>
      </c>
    </row>
    <row r="18" spans="1:9" x14ac:dyDescent="0.15">
      <c r="A18" s="162" t="s">
        <v>14</v>
      </c>
      <c r="B18" s="73">
        <f t="shared" si="0"/>
        <v>0.38007702308487246</v>
      </c>
      <c r="C18" s="73">
        <f t="shared" si="0"/>
        <v>-1.1154561850553746E-3</v>
      </c>
      <c r="D18" s="73">
        <f t="shared" si="0"/>
        <v>0.51548860658241824</v>
      </c>
      <c r="E18" s="73">
        <f t="shared" si="0"/>
        <v>0.1228941810033275</v>
      </c>
      <c r="F18" s="73">
        <f t="shared" si="1"/>
        <v>0.23759210834318645</v>
      </c>
      <c r="G18" s="89">
        <v>5</v>
      </c>
    </row>
    <row r="19" spans="1:9" x14ac:dyDescent="0.15">
      <c r="A19" s="162" t="s">
        <v>15</v>
      </c>
      <c r="B19" s="73">
        <f t="shared" si="0"/>
        <v>-2.0782621523935951E-2</v>
      </c>
      <c r="C19" s="73">
        <f t="shared" si="0"/>
        <v>-0.13997525930155108</v>
      </c>
      <c r="D19" s="73">
        <f t="shared" si="0"/>
        <v>-0.20209050415063778</v>
      </c>
      <c r="E19" s="73">
        <f t="shared" si="0"/>
        <v>1.4858669269395275E-2</v>
      </c>
      <c r="F19" s="73">
        <f t="shared" si="1"/>
        <v>-9.1264876592553335E-2</v>
      </c>
      <c r="G19" s="89">
        <v>6</v>
      </c>
    </row>
    <row r="21" spans="1:9" ht="16" x14ac:dyDescent="0.2">
      <c r="A21" s="202" t="s">
        <v>23</v>
      </c>
      <c r="B21" s="203"/>
      <c r="C21" s="203"/>
      <c r="D21" s="203"/>
      <c r="E21" s="203"/>
      <c r="F21" s="203"/>
      <c r="G21" s="203"/>
      <c r="H21" s="155"/>
    </row>
    <row r="22" spans="1:9" x14ac:dyDescent="0.15">
      <c r="A22" s="167" t="s">
        <v>17</v>
      </c>
      <c r="B22" s="167">
        <v>2024</v>
      </c>
      <c r="C22" s="167">
        <v>2023</v>
      </c>
      <c r="D22" s="167">
        <v>2022</v>
      </c>
      <c r="E22" s="167">
        <v>2021</v>
      </c>
      <c r="F22" s="167">
        <v>2020</v>
      </c>
      <c r="G22" s="168" t="s">
        <v>8</v>
      </c>
      <c r="H22" s="169" t="s">
        <v>9</v>
      </c>
    </row>
    <row r="23" spans="1:9" x14ac:dyDescent="0.15">
      <c r="A23" s="162" t="s">
        <v>10</v>
      </c>
      <c r="B23" s="132">
        <f>NVIDIA!B7</f>
        <v>16621</v>
      </c>
      <c r="C23" s="132">
        <f>NVIDIA!C7</f>
        <v>11618</v>
      </c>
      <c r="D23" s="132">
        <f>NVIDIA!D7</f>
        <v>9439</v>
      </c>
      <c r="E23" s="132">
        <f>NVIDIA!E7</f>
        <v>6279</v>
      </c>
      <c r="F23" s="132">
        <f>NVIDIA!F7</f>
        <v>4150</v>
      </c>
      <c r="G23" s="126">
        <f>AVERAGE(B23:F23)</f>
        <v>9621.4</v>
      </c>
      <c r="H23" s="77">
        <f>_xlfn.RANK.EQ(G23,G23:G28,1)</f>
        <v>3</v>
      </c>
      <c r="I23" s="82"/>
    </row>
    <row r="24" spans="1:9" x14ac:dyDescent="0.15">
      <c r="A24" s="162" t="s">
        <v>11</v>
      </c>
      <c r="B24" s="84">
        <f>AMD!B7</f>
        <v>13060</v>
      </c>
      <c r="C24" s="84">
        <f>AMD!C7</f>
        <v>12220</v>
      </c>
      <c r="D24" s="84">
        <f>AMD!D7</f>
        <v>12998</v>
      </c>
      <c r="E24" s="84">
        <f>AMD!E7</f>
        <v>8505</v>
      </c>
      <c r="F24" s="84">
        <f>AMD!F7</f>
        <v>5416</v>
      </c>
      <c r="G24" s="126">
        <f t="shared" ref="G24:G28" si="2">AVERAGE(B24:F24)</f>
        <v>10439.799999999999</v>
      </c>
      <c r="H24" s="77">
        <f>_xlfn.RANK.EQ(G24,G23:G28,1)</f>
        <v>4</v>
      </c>
    </row>
    <row r="25" spans="1:9" x14ac:dyDescent="0.15">
      <c r="A25" s="162" t="s">
        <v>12</v>
      </c>
      <c r="B25" s="132">
        <f>Qualcomm!B6</f>
        <v>17060</v>
      </c>
      <c r="C25" s="132">
        <f>Qualcomm!C6</f>
        <v>15869</v>
      </c>
      <c r="D25" s="132">
        <f>Qualcomm!D6</f>
        <v>18635</v>
      </c>
      <c r="E25" s="132">
        <f>Qualcomm!E6</f>
        <v>14262</v>
      </c>
      <c r="F25" s="132">
        <f>Qualcomm!F6</f>
        <v>9255</v>
      </c>
      <c r="G25" s="126">
        <f t="shared" si="2"/>
        <v>15016.2</v>
      </c>
      <c r="H25" s="77">
        <f>_xlfn.RANK.EQ(G25,G23:G28,1)</f>
        <v>5</v>
      </c>
    </row>
    <row r="26" spans="1:9" x14ac:dyDescent="0.15">
      <c r="A26" s="162" t="s">
        <v>13</v>
      </c>
      <c r="B26" s="132">
        <f>ARM!B9</f>
        <v>-121</v>
      </c>
      <c r="C26" s="132">
        <f>ARM!C9</f>
        <v>-154</v>
      </c>
      <c r="D26" s="132">
        <f>ARM!D9</f>
        <v>-106</v>
      </c>
      <c r="E26" s="132">
        <f>ARM!E9</f>
        <v>-131</v>
      </c>
      <c r="F26" s="132">
        <f>ARM!F9</f>
        <v>-145</v>
      </c>
      <c r="G26" s="126">
        <f t="shared" si="2"/>
        <v>-131.4</v>
      </c>
      <c r="H26" s="77">
        <f>_xlfn.RANK.EQ(G26,G23:G28,1)</f>
        <v>1</v>
      </c>
    </row>
    <row r="27" spans="1:9" x14ac:dyDescent="0.15">
      <c r="A27" s="162" t="s">
        <v>14</v>
      </c>
      <c r="B27" s="79">
        <f>TSMC!B5*32.108</f>
        <v>40777.159999999996</v>
      </c>
      <c r="C27" s="79">
        <f>TSMC!C5*31.15</f>
        <v>30732.59</v>
      </c>
      <c r="D27" s="79">
        <f>TSMC!D5*29.777</f>
        <v>27260.843500000003</v>
      </c>
      <c r="E27" s="79">
        <f>TSMC!E5*28.022</f>
        <v>21518.093799999999</v>
      </c>
      <c r="F27" s="79">
        <f>TSMC!F5*29.578</f>
        <v>18577.941800000001</v>
      </c>
      <c r="G27" s="126">
        <f t="shared" si="2"/>
        <v>27773.325820000005</v>
      </c>
      <c r="H27" s="77">
        <f>_xlfn.RANK.EQ(G27,G23:G28,1)</f>
        <v>6</v>
      </c>
    </row>
    <row r="28" spans="1:9" x14ac:dyDescent="0.15">
      <c r="A28" s="162" t="s">
        <v>15</v>
      </c>
      <c r="B28" s="84">
        <f>Intel!B6</f>
        <v>34877</v>
      </c>
      <c r="C28" s="84">
        <f>Intel!C6</f>
        <v>31282</v>
      </c>
      <c r="D28" s="84">
        <f>Intel!D6</f>
        <v>34608</v>
      </c>
      <c r="E28" s="84">
        <f>Intel!E6</f>
        <v>35209</v>
      </c>
      <c r="F28" s="84">
        <f>Intel!F6</f>
        <v>34255</v>
      </c>
      <c r="G28" s="84">
        <f>Intel!G6</f>
        <v>0</v>
      </c>
      <c r="H28" s="77">
        <f>_xlfn.RANK.EQ(G28,G23:G28,1)</f>
        <v>2</v>
      </c>
    </row>
    <row r="30" spans="1:9" ht="16" x14ac:dyDescent="0.2">
      <c r="A30" s="202" t="s">
        <v>24</v>
      </c>
      <c r="B30" s="203"/>
      <c r="C30" s="203"/>
      <c r="D30" s="203"/>
      <c r="E30" s="203"/>
      <c r="F30" s="203"/>
      <c r="G30" s="203"/>
      <c r="H30" s="155"/>
    </row>
    <row r="31" spans="1:9" x14ac:dyDescent="0.15">
      <c r="A31" s="167" t="s">
        <v>17</v>
      </c>
      <c r="B31" s="167">
        <v>2024</v>
      </c>
      <c r="C31" s="167">
        <v>2023</v>
      </c>
      <c r="D31" s="167">
        <v>2022</v>
      </c>
      <c r="E31" s="167">
        <v>2021</v>
      </c>
      <c r="F31" s="167">
        <v>2020</v>
      </c>
      <c r="G31" s="168" t="s">
        <v>8</v>
      </c>
      <c r="H31" s="169" t="s">
        <v>9</v>
      </c>
    </row>
    <row r="32" spans="1:9" x14ac:dyDescent="0.15">
      <c r="A32" s="162" t="s">
        <v>10</v>
      </c>
      <c r="B32" s="85">
        <f t="shared" ref="B32:B37" si="3">B23/B5</f>
        <v>0.27282426709563046</v>
      </c>
      <c r="C32" s="85">
        <f t="shared" ref="C32:F32" si="4">C23/C5</f>
        <v>0.43071105509008673</v>
      </c>
      <c r="D32" s="85">
        <f t="shared" si="4"/>
        <v>0.35070966783086871</v>
      </c>
      <c r="E32" s="85">
        <f t="shared" si="4"/>
        <v>0.37655172413793103</v>
      </c>
      <c r="F32" s="85">
        <f t="shared" si="4"/>
        <v>0.38010624656530501</v>
      </c>
      <c r="G32" s="73">
        <f>AVERAGE(B32:F32)</f>
        <v>0.36218059214396436</v>
      </c>
      <c r="H32" s="77">
        <f>_xlfn.RANK.EQ(G32,G32:G37,1)</f>
        <v>2</v>
      </c>
    </row>
    <row r="33" spans="1:8" x14ac:dyDescent="0.15">
      <c r="A33" s="162" t="s">
        <v>11</v>
      </c>
      <c r="B33" s="87">
        <f t="shared" si="3"/>
        <v>0.50649602482063216</v>
      </c>
      <c r="C33" s="87">
        <f t="shared" ref="C33:F33" si="5">C24/C6</f>
        <v>0.53880070546737213</v>
      </c>
      <c r="D33" s="87">
        <f t="shared" si="5"/>
        <v>0.5507393754501928</v>
      </c>
      <c r="E33" s="87">
        <f t="shared" si="5"/>
        <v>0.51752464403066811</v>
      </c>
      <c r="F33" s="87">
        <f t="shared" si="5"/>
        <v>0.55474751613233642</v>
      </c>
      <c r="G33" s="73">
        <f t="shared" ref="G33:G37" si="6">AVERAGE(B33:F33)</f>
        <v>0.53366165318024028</v>
      </c>
      <c r="H33" s="77">
        <f>_xlfn.RANK.EQ(G33,G32:G37,1)</f>
        <v>6</v>
      </c>
    </row>
    <row r="34" spans="1:8" x14ac:dyDescent="0.15">
      <c r="A34" s="162" t="s">
        <v>12</v>
      </c>
      <c r="B34" s="85">
        <f t="shared" si="3"/>
        <v>0.43786253272419279</v>
      </c>
      <c r="C34" s="85">
        <f t="shared" ref="C34:F34" si="7">C25/C7</f>
        <v>0.44302065884980457</v>
      </c>
      <c r="D34" s="85">
        <f t="shared" si="7"/>
        <v>0.42160633484162896</v>
      </c>
      <c r="E34" s="85">
        <f t="shared" si="7"/>
        <v>0.42489423821724365</v>
      </c>
      <c r="F34" s="85">
        <f t="shared" si="7"/>
        <v>0.393310951510773</v>
      </c>
      <c r="G34" s="73">
        <f t="shared" si="6"/>
        <v>0.42413894322872858</v>
      </c>
      <c r="H34" s="77">
        <f>_xlfn.RANK.EQ(G34,G32:G37,1)</f>
        <v>3</v>
      </c>
    </row>
    <row r="35" spans="1:8" x14ac:dyDescent="0.15">
      <c r="A35" s="162" t="s">
        <v>13</v>
      </c>
      <c r="B35" s="85">
        <f t="shared" si="3"/>
        <v>-3.0197154978787121E-2</v>
      </c>
      <c r="C35" s="85">
        <f t="shared" ref="C35:F35" si="8">C26/C8</f>
        <v>-4.7633776678008041E-2</v>
      </c>
      <c r="D35" s="85">
        <f t="shared" si="8"/>
        <v>-3.9567002612915264E-2</v>
      </c>
      <c r="E35" s="85">
        <f t="shared" si="8"/>
        <v>-4.8464668886422493E-2</v>
      </c>
      <c r="F35" s="85">
        <f t="shared" si="8"/>
        <v>-7.1534287123828325E-2</v>
      </c>
      <c r="G35" s="73">
        <f t="shared" si="6"/>
        <v>-4.7479378055992248E-2</v>
      </c>
      <c r="H35" s="77">
        <f>_xlfn.RANK.EQ(G35,G32:G37,1)</f>
        <v>1</v>
      </c>
    </row>
    <row r="36" spans="1:8" x14ac:dyDescent="0.15">
      <c r="A36" s="162" t="s">
        <v>14</v>
      </c>
      <c r="B36" s="88">
        <f t="shared" si="3"/>
        <v>0.4387934906540441</v>
      </c>
      <c r="C36" s="88">
        <f t="shared" ref="C36:F36" si="9">C27/C9</f>
        <v>0.45640005551186574</v>
      </c>
      <c r="D36" s="88">
        <f t="shared" si="9"/>
        <v>0.40439065329740714</v>
      </c>
      <c r="E36" s="88">
        <f t="shared" si="9"/>
        <v>0.48374700768552348</v>
      </c>
      <c r="F36" s="88">
        <f t="shared" si="9"/>
        <v>0.46897633091913687</v>
      </c>
      <c r="G36" s="73">
        <f t="shared" si="6"/>
        <v>0.45046150761359549</v>
      </c>
      <c r="H36" s="77">
        <f>_xlfn.RANK.EQ(G36,G32:G37,1)</f>
        <v>4</v>
      </c>
    </row>
    <row r="37" spans="1:8" x14ac:dyDescent="0.15">
      <c r="A37" s="162" t="s">
        <v>15</v>
      </c>
      <c r="B37" s="87">
        <f t="shared" si="3"/>
        <v>0.65680495659215454</v>
      </c>
      <c r="C37" s="87">
        <f t="shared" ref="C37:F37" si="10">C28/C10</f>
        <v>0.57686066238843403</v>
      </c>
      <c r="D37" s="87">
        <f t="shared" si="10"/>
        <v>0.54886287943667333</v>
      </c>
      <c r="E37" s="87">
        <f t="shared" si="10"/>
        <v>0.4455481878922859</v>
      </c>
      <c r="F37" s="87">
        <f t="shared" si="10"/>
        <v>0.43991678117816274</v>
      </c>
      <c r="G37" s="73">
        <f t="shared" si="6"/>
        <v>0.53359869349754208</v>
      </c>
      <c r="H37" s="77">
        <f>_xlfn.RANK.EQ(G37,G32:G37,1)</f>
        <v>5</v>
      </c>
    </row>
    <row r="39" spans="1:8" ht="16" x14ac:dyDescent="0.2">
      <c r="A39" s="202" t="s">
        <v>25</v>
      </c>
      <c r="B39" s="203"/>
      <c r="C39" s="203"/>
      <c r="D39" s="203"/>
      <c r="E39" s="203"/>
      <c r="F39" s="203"/>
      <c r="G39" s="203"/>
      <c r="H39" s="155"/>
    </row>
    <row r="40" spans="1:8" x14ac:dyDescent="0.15">
      <c r="A40" s="167" t="s">
        <v>17</v>
      </c>
      <c r="B40" s="167">
        <v>2024</v>
      </c>
      <c r="C40" s="167">
        <v>2023</v>
      </c>
      <c r="D40" s="167">
        <v>2022</v>
      </c>
      <c r="E40" s="167">
        <v>2021</v>
      </c>
      <c r="F40" s="167">
        <v>2020</v>
      </c>
      <c r="G40" s="168" t="s">
        <v>8</v>
      </c>
      <c r="H40" s="169" t="s">
        <v>9</v>
      </c>
    </row>
    <row r="41" spans="1:8" x14ac:dyDescent="0.15">
      <c r="A41" s="162" t="s">
        <v>10</v>
      </c>
      <c r="B41" s="85">
        <f t="shared" ref="B41:F46" si="11">B168/B5</f>
        <v>0.18595909523653195</v>
      </c>
      <c r="C41" s="85">
        <f t="shared" si="11"/>
        <v>0.41269370504930675</v>
      </c>
      <c r="D41" s="85">
        <f t="shared" si="11"/>
        <v>0.2762131232815635</v>
      </c>
      <c r="E41" s="85">
        <f t="shared" si="11"/>
        <v>0.35166416791604199</v>
      </c>
      <c r="F41" s="85">
        <f t="shared" si="11"/>
        <v>0.35922330097087379</v>
      </c>
      <c r="G41" s="73">
        <f>AVERAGE(B41:F41)</f>
        <v>0.31715067849086359</v>
      </c>
      <c r="H41" s="77">
        <f>_xlfn.RANK.EQ(G41,G41:G46,1)</f>
        <v>2</v>
      </c>
    </row>
    <row r="42" spans="1:8" x14ac:dyDescent="0.15">
      <c r="A42" s="162" t="s">
        <v>11</v>
      </c>
      <c r="B42" s="87">
        <f t="shared" si="11"/>
        <v>0.41981772348264496</v>
      </c>
      <c r="C42" s="87">
        <f t="shared" si="11"/>
        <v>0.23536155202821871</v>
      </c>
      <c r="D42" s="87">
        <f t="shared" si="11"/>
        <v>0.39570357188254734</v>
      </c>
      <c r="E42" s="87">
        <f t="shared" si="11"/>
        <v>0.26049653158086894</v>
      </c>
      <c r="F42" s="87">
        <f t="shared" si="11"/>
        <v>0.30502919184676841</v>
      </c>
      <c r="G42" s="73">
        <f t="shared" ref="G42:G46" si="12">AVERAGE(B42:F42)</f>
        <v>0.3232817141642097</v>
      </c>
      <c r="H42" s="77">
        <f>_xlfn.RANK.EQ(G42,G41:G46,1)</f>
        <v>3</v>
      </c>
    </row>
    <row r="43" spans="1:8" x14ac:dyDescent="0.15">
      <c r="A43" s="162" t="s">
        <v>12</v>
      </c>
      <c r="B43" s="85">
        <f t="shared" si="11"/>
        <v>0.34284687644371437</v>
      </c>
      <c r="C43" s="85">
        <f t="shared" si="11"/>
        <v>0.36599664991624792</v>
      </c>
      <c r="D43" s="85">
        <f t="shared" si="11"/>
        <v>0.28339366515837106</v>
      </c>
      <c r="E43" s="85">
        <f t="shared" si="11"/>
        <v>0.33060239528093904</v>
      </c>
      <c r="F43" s="85">
        <f t="shared" si="11"/>
        <v>0.40125791509073139</v>
      </c>
      <c r="G43" s="73">
        <f t="shared" si="12"/>
        <v>0.34481950037800074</v>
      </c>
      <c r="H43" s="77">
        <f>_xlfn.RANK.EQ(G43,G41:G46,1)</f>
        <v>4</v>
      </c>
    </row>
    <row r="44" spans="1:8" x14ac:dyDescent="0.15">
      <c r="A44" s="162" t="s">
        <v>13</v>
      </c>
      <c r="B44" s="85">
        <f t="shared" si="11"/>
        <v>0.76241577239830294</v>
      </c>
      <c r="C44" s="85">
        <f t="shared" si="11"/>
        <v>0.91803278688524592</v>
      </c>
      <c r="D44" s="85">
        <f t="shared" si="11"/>
        <v>0.70996640537514</v>
      </c>
      <c r="E44" s="85">
        <f t="shared" si="11"/>
        <v>0.71735109137994824</v>
      </c>
      <c r="F44" s="85">
        <f t="shared" si="11"/>
        <v>0.81055747409965462</v>
      </c>
      <c r="G44" s="73">
        <f t="shared" si="12"/>
        <v>0.78366470602765825</v>
      </c>
      <c r="H44" s="77">
        <f>_xlfn.RANK.EQ(G44,G41:G46,1)</f>
        <v>6</v>
      </c>
    </row>
    <row r="45" spans="1:8" x14ac:dyDescent="0.15">
      <c r="A45" s="162" t="s">
        <v>14</v>
      </c>
      <c r="B45" s="88">
        <f t="shared" si="11"/>
        <v>2.7181695767731634E-3</v>
      </c>
      <c r="C45" s="88">
        <f t="shared" si="11"/>
        <v>3.3651655320618523E-3</v>
      </c>
      <c r="D45" s="88">
        <f t="shared" si="11"/>
        <v>3.040994821967576E-3</v>
      </c>
      <c r="E45" s="88">
        <f t="shared" si="11"/>
        <v>3.3384198112055932E-3</v>
      </c>
      <c r="F45" s="88">
        <f t="shared" si="11"/>
        <v>3.1630379132831523E-3</v>
      </c>
      <c r="G45" s="73">
        <f t="shared" si="12"/>
        <v>3.1251575310582676E-3</v>
      </c>
      <c r="H45" s="77">
        <f>_xlfn.RANK.EQ(G45,G41:G46,1)</f>
        <v>1</v>
      </c>
    </row>
    <row r="46" spans="1:8" x14ac:dyDescent="0.15">
      <c r="A46" s="162" t="s">
        <v>15</v>
      </c>
      <c r="B46" s="87">
        <f t="shared" si="11"/>
        <v>0.41530291331613339</v>
      </c>
      <c r="C46" s="87">
        <f t="shared" si="11"/>
        <v>0.39979346463081805</v>
      </c>
      <c r="D46" s="87">
        <f t="shared" si="11"/>
        <v>0.38903162368763283</v>
      </c>
      <c r="E46" s="87">
        <f t="shared" si="11"/>
        <v>0.27501771613686982</v>
      </c>
      <c r="F46" s="87">
        <f t="shared" si="11"/>
        <v>0.25345781910180182</v>
      </c>
      <c r="G46" s="73">
        <f t="shared" si="12"/>
        <v>0.34652070737465118</v>
      </c>
      <c r="H46" s="77">
        <f>_xlfn.RANK.EQ(G46,G41:G46,1)</f>
        <v>5</v>
      </c>
    </row>
    <row r="48" spans="1:8" ht="16" x14ac:dyDescent="0.2">
      <c r="A48" s="202" t="s">
        <v>26</v>
      </c>
      <c r="B48" s="203"/>
      <c r="C48" s="203"/>
      <c r="D48" s="203"/>
      <c r="E48" s="203"/>
      <c r="F48" s="203"/>
      <c r="G48" s="154"/>
    </row>
    <row r="49" spans="1:8" x14ac:dyDescent="0.15">
      <c r="A49" s="167" t="s">
        <v>17</v>
      </c>
      <c r="B49" s="167" t="s">
        <v>18</v>
      </c>
      <c r="C49" s="167" t="s">
        <v>19</v>
      </c>
      <c r="D49" s="167" t="s">
        <v>20</v>
      </c>
      <c r="E49" s="167" t="s">
        <v>21</v>
      </c>
      <c r="F49" s="167" t="s">
        <v>8</v>
      </c>
      <c r="G49" s="168" t="s">
        <v>9</v>
      </c>
    </row>
    <row r="50" spans="1:8" x14ac:dyDescent="0.15">
      <c r="A50" s="162" t="s">
        <v>10</v>
      </c>
      <c r="B50" s="85">
        <f t="shared" ref="B50:E55" si="13">B168/C168-1</f>
        <v>1.7696730147322981E-2</v>
      </c>
      <c r="C50" s="85">
        <f t="shared" si="13"/>
        <v>0.49744417541027719</v>
      </c>
      <c r="D50" s="85">
        <f t="shared" si="13"/>
        <v>0.26773533424283769</v>
      </c>
      <c r="E50" s="85">
        <f t="shared" si="13"/>
        <v>0.49515553289138192</v>
      </c>
      <c r="F50" s="85">
        <f>AVERAGE(B50:E50)</f>
        <v>0.31950794317295494</v>
      </c>
      <c r="G50" s="77">
        <f>_xlfn.RANK.EQ(F50,F50:F55,0)</f>
        <v>2</v>
      </c>
    </row>
    <row r="51" spans="1:8" x14ac:dyDescent="0.15">
      <c r="A51" s="162" t="s">
        <v>11</v>
      </c>
      <c r="B51" s="85">
        <f t="shared" si="13"/>
        <v>1.0279130760584487</v>
      </c>
      <c r="C51" s="85">
        <f t="shared" si="13"/>
        <v>-0.42841846022058039</v>
      </c>
      <c r="D51" s="85">
        <f t="shared" si="13"/>
        <v>1.181499649614576</v>
      </c>
      <c r="E51" s="85">
        <f t="shared" si="13"/>
        <v>0.43754197447951637</v>
      </c>
      <c r="F51" s="85">
        <f t="shared" ref="F51:F55" si="14">AVERAGE(B51:E51)</f>
        <v>0.5546340599829902</v>
      </c>
      <c r="G51" s="77">
        <f>_xlfn.RANK.EQ(F51,F50:F55,0)</f>
        <v>1</v>
      </c>
    </row>
    <row r="52" spans="1:8" x14ac:dyDescent="0.15">
      <c r="A52" s="162" t="s">
        <v>12</v>
      </c>
      <c r="B52" s="85">
        <f t="shared" si="13"/>
        <v>1.8916857360793182E-2</v>
      </c>
      <c r="C52" s="85">
        <f t="shared" si="13"/>
        <v>4.662302410985153E-2</v>
      </c>
      <c r="D52" s="85">
        <f t="shared" si="13"/>
        <v>0.12877354239884653</v>
      </c>
      <c r="E52" s="85">
        <f t="shared" si="13"/>
        <v>0.17528066087693284</v>
      </c>
      <c r="F52" s="85">
        <f t="shared" si="14"/>
        <v>9.239852118660602E-2</v>
      </c>
      <c r="G52" s="77">
        <f>_xlfn.RANK.EQ(F52,F50:F55,0)</f>
        <v>5</v>
      </c>
    </row>
    <row r="53" spans="1:8" x14ac:dyDescent="0.15">
      <c r="A53" s="162" t="s">
        <v>13</v>
      </c>
      <c r="B53" s="85">
        <f t="shared" si="13"/>
        <v>2.9312668463611802E-2</v>
      </c>
      <c r="C53" s="85">
        <f t="shared" si="13"/>
        <v>0.56046267087276558</v>
      </c>
      <c r="D53" s="85">
        <f t="shared" si="13"/>
        <v>-1.9082001031459517E-2</v>
      </c>
      <c r="E53" s="85">
        <f t="shared" si="13"/>
        <v>0.18015824710894712</v>
      </c>
      <c r="F53" s="85">
        <f t="shared" si="14"/>
        <v>0.18771289635346625</v>
      </c>
      <c r="G53" s="77">
        <f>_xlfn.RANK.EQ(F53,F50:F55,0)</f>
        <v>4</v>
      </c>
    </row>
    <row r="54" spans="1:8" x14ac:dyDescent="0.15">
      <c r="A54" s="162" t="s">
        <v>14</v>
      </c>
      <c r="B54" s="85">
        <f t="shared" si="13"/>
        <v>0.11473962930273629</v>
      </c>
      <c r="C54" s="85">
        <f t="shared" si="13"/>
        <v>0.10536585365853646</v>
      </c>
      <c r="D54" s="85">
        <f t="shared" si="13"/>
        <v>0.3804713804713804</v>
      </c>
      <c r="E54" s="85">
        <f t="shared" si="13"/>
        <v>0.18515562649640871</v>
      </c>
      <c r="F54" s="85">
        <f t="shared" si="14"/>
        <v>0.19643312248226547</v>
      </c>
      <c r="G54" s="77">
        <f>_xlfn.RANK.EQ(F54,F50:F55,0)</f>
        <v>3</v>
      </c>
    </row>
    <row r="55" spans="1:8" x14ac:dyDescent="0.15">
      <c r="A55" s="162" t="s">
        <v>15</v>
      </c>
      <c r="B55" s="85">
        <f t="shared" si="13"/>
        <v>1.720479704797051E-2</v>
      </c>
      <c r="C55" s="85">
        <f t="shared" si="13"/>
        <v>-0.11618426416632699</v>
      </c>
      <c r="D55" s="85">
        <f t="shared" si="13"/>
        <v>0.12869829291860313</v>
      </c>
      <c r="E55" s="85">
        <f t="shared" si="13"/>
        <v>0.10118565058775841</v>
      </c>
      <c r="F55" s="85">
        <f t="shared" si="14"/>
        <v>3.2726119097001266E-2</v>
      </c>
      <c r="G55" s="77">
        <f>_xlfn.RANK.EQ(F55,F50:F55,0)</f>
        <v>6</v>
      </c>
    </row>
    <row r="57" spans="1:8" ht="16" x14ac:dyDescent="0.2">
      <c r="A57" s="192" t="s">
        <v>27</v>
      </c>
      <c r="B57" s="193"/>
      <c r="C57" s="193"/>
      <c r="D57" s="193"/>
      <c r="E57" s="193"/>
      <c r="F57" s="193"/>
      <c r="G57" s="193"/>
      <c r="H57" s="155"/>
    </row>
    <row r="58" spans="1:8" x14ac:dyDescent="0.15">
      <c r="A58" s="167" t="s">
        <v>17</v>
      </c>
      <c r="B58" s="167">
        <v>2024</v>
      </c>
      <c r="C58" s="167">
        <v>2023</v>
      </c>
      <c r="D58" s="167">
        <v>2022</v>
      </c>
      <c r="E58" s="167">
        <v>2021</v>
      </c>
      <c r="F58" s="167">
        <v>2020</v>
      </c>
      <c r="G58" s="168" t="s">
        <v>8</v>
      </c>
      <c r="H58" s="167" t="s">
        <v>9</v>
      </c>
    </row>
    <row r="59" spans="1:8" x14ac:dyDescent="0.15">
      <c r="A59" s="162" t="s">
        <v>10</v>
      </c>
      <c r="B59" s="85">
        <f>NVIDIA!B44/NVIDIA!B6</f>
        <v>0.14239519385443683</v>
      </c>
      <c r="C59" s="85">
        <f>NVIDIA!C44/NVIDIA!C6</f>
        <v>0.27207681471046191</v>
      </c>
      <c r="D59" s="85">
        <f>NVIDIA!D44/NVIDIA!D6</f>
        <v>0.19573456193802483</v>
      </c>
      <c r="E59" s="85">
        <f>NVIDIA!E44/NVIDIA!E6</f>
        <v>0.2353223388305847</v>
      </c>
      <c r="F59" s="85">
        <f>NVIDIA!F44/NVIDIA!F6</f>
        <v>0.25911339073090311</v>
      </c>
      <c r="G59" s="85">
        <f>AVERAGE(B59:F59)</f>
        <v>0.2209284600128823</v>
      </c>
      <c r="H59" s="77">
        <f>_xlfn.RANK.EQ(G59,G59:G64,0)</f>
        <v>4</v>
      </c>
    </row>
    <row r="60" spans="1:8" x14ac:dyDescent="0.15">
      <c r="A60" s="162" t="s">
        <v>11</v>
      </c>
      <c r="B60" s="87">
        <f>AMD!B36/AMD!B6</f>
        <v>0.25037812681791738</v>
      </c>
      <c r="C60" s="87">
        <f>AMD!C36/AMD!C6</f>
        <v>0.25890652557319221</v>
      </c>
      <c r="D60" s="87">
        <f>AMD!D36/AMD!D6</f>
        <v>0.21206728528452184</v>
      </c>
      <c r="E60" s="87">
        <f>AMD!E36/AMD!E6</f>
        <v>0.17311670926128758</v>
      </c>
      <c r="F60" s="87">
        <f>AMD!F36/AMD!F6</f>
        <v>0.20311379698863055</v>
      </c>
      <c r="G60" s="85">
        <f t="shared" ref="G60:G64" si="15">AVERAGE(B60:F60)</f>
        <v>0.2195164887851099</v>
      </c>
      <c r="H60" s="77">
        <f>_xlfn.RANK.EQ(G60,G59:G64,0)</f>
        <v>5</v>
      </c>
    </row>
    <row r="61" spans="1:8" x14ac:dyDescent="0.15">
      <c r="A61" s="162" t="s">
        <v>12</v>
      </c>
      <c r="B61" s="85">
        <f>Qualcomm!B31/Qualcomm!B5</f>
        <v>0.22824803654843182</v>
      </c>
      <c r="C61" s="85">
        <f>Qualcomm!C31/Qualcomm!C5</f>
        <v>0.24617532104969292</v>
      </c>
      <c r="D61" s="85">
        <f>Qualcomm!D31/Qualcomm!D5</f>
        <v>0.1853846153846154</v>
      </c>
      <c r="E61" s="85">
        <f>Qualcomm!E31/Qualcomm!E5</f>
        <v>0.21378776142525174</v>
      </c>
      <c r="F61" s="85">
        <f>Qualcomm!F31/Qualcomm!F5</f>
        <v>0.25392036037567467</v>
      </c>
      <c r="G61" s="85">
        <f t="shared" si="15"/>
        <v>0.22550321895673334</v>
      </c>
      <c r="H61" s="77">
        <f>_xlfn.RANK.EQ(G61,G59:G64,0)</f>
        <v>3</v>
      </c>
    </row>
    <row r="62" spans="1:8" x14ac:dyDescent="0.15">
      <c r="A62" s="162" t="s">
        <v>13</v>
      </c>
      <c r="B62" s="85">
        <f>ARM!B32/ARM!B7</f>
        <v>0.51684552033940601</v>
      </c>
      <c r="C62" s="85">
        <f>ARM!C32/ARM!C7</f>
        <v>0.61212496133622019</v>
      </c>
      <c r="D62" s="85">
        <f>ARM!D32/ARM!D7</f>
        <v>0.42291899962672641</v>
      </c>
      <c r="E62" s="85">
        <f>ARM!E32/ARM!E7</f>
        <v>0.36810950795412506</v>
      </c>
      <c r="F62" s="85">
        <f>ARM!F32/ARM!F7</f>
        <v>0.40157868771583621</v>
      </c>
      <c r="G62" s="85">
        <f>AVERAGE(B62:F62)</f>
        <v>0.46431553539446274</v>
      </c>
      <c r="H62" s="77">
        <f>_xlfn.RANK.EQ(G62,G59:G64,0)</f>
        <v>1</v>
      </c>
    </row>
    <row r="63" spans="1:8" x14ac:dyDescent="0.15">
      <c r="A63" s="162" t="s">
        <v>14</v>
      </c>
      <c r="B63" s="88">
        <f>TSMC!B28/TSMC!B4</f>
        <v>6.8721279756763287E-2</v>
      </c>
      <c r="C63" s="88">
        <f>TSMC!C28/TSMC!C4</f>
        <v>8.3082758939723375E-2</v>
      </c>
      <c r="D63" s="88">
        <f>TSMC!D28/TSMC!D4</f>
        <v>7.2397190688634663E-2</v>
      </c>
      <c r="E63" s="88">
        <f>TSMC!E28/TSMC!E4</f>
        <v>7.2760488849691315E-2</v>
      </c>
      <c r="F63" s="88">
        <f>TSMC!F28/TSMC!F4</f>
        <v>7.2500559994026728E-2</v>
      </c>
      <c r="G63" s="85">
        <f t="shared" si="15"/>
        <v>7.3892455645767879E-2</v>
      </c>
      <c r="H63" s="77">
        <f>_xlfn.RANK.EQ(G63,G59:G64,0)</f>
        <v>6</v>
      </c>
    </row>
    <row r="64" spans="1:8" x14ac:dyDescent="0.15">
      <c r="A64" s="162" t="s">
        <v>15</v>
      </c>
      <c r="B64" s="87">
        <f>Intel!B32/Intel!B5</f>
        <v>0.31159488521873413</v>
      </c>
      <c r="C64" s="87">
        <f>Intel!C32/Intel!C5</f>
        <v>0.29589879766910082</v>
      </c>
      <c r="D64" s="87">
        <f>Intel!D32/Intel!D5</f>
        <v>0.27798395026485234</v>
      </c>
      <c r="E64" s="87">
        <f>Intel!E32/Intel!E5</f>
        <v>0.19222008503745697</v>
      </c>
      <c r="F64" s="87">
        <f>Intel!F32/Intel!F5</f>
        <v>0.17409172049777183</v>
      </c>
      <c r="G64" s="85">
        <f t="shared" si="15"/>
        <v>0.25035788773758327</v>
      </c>
      <c r="H64" s="77">
        <f>_xlfn.RANK.EQ(G64,G59:G64,0)</f>
        <v>2</v>
      </c>
    </row>
    <row r="66" spans="1:20" ht="16" x14ac:dyDescent="0.2">
      <c r="A66" s="192" t="s">
        <v>28</v>
      </c>
      <c r="B66" s="193"/>
      <c r="C66" s="193"/>
      <c r="D66" s="193"/>
      <c r="E66" s="193"/>
      <c r="F66" s="193"/>
      <c r="G66" s="193"/>
      <c r="H66" s="193"/>
    </row>
    <row r="67" spans="1:20" x14ac:dyDescent="0.15">
      <c r="A67" s="167" t="s">
        <v>17</v>
      </c>
      <c r="B67" s="167">
        <v>2024</v>
      </c>
      <c r="C67" s="167">
        <v>2023</v>
      </c>
      <c r="D67" s="167">
        <v>2022</v>
      </c>
      <c r="E67" s="167">
        <v>2021</v>
      </c>
      <c r="F67" s="167">
        <v>2020</v>
      </c>
      <c r="G67" s="167" t="s">
        <v>8</v>
      </c>
      <c r="H67" s="167" t="s">
        <v>9</v>
      </c>
    </row>
    <row r="68" spans="1:20" x14ac:dyDescent="0.15">
      <c r="A68" s="162" t="s">
        <v>10</v>
      </c>
      <c r="B68" s="85">
        <f>NVIDIA!B10/NVIDIA!B6</f>
        <v>0.54121663766783756</v>
      </c>
      <c r="C68" s="85">
        <f>NVIDIA!C10/NVIDIA!C6</f>
        <v>0.1565952398606065</v>
      </c>
      <c r="D68" s="85">
        <f>NVIDIA!D10/NVIDIA!D6</f>
        <v>0.37307720888756779</v>
      </c>
      <c r="E68" s="85">
        <f>NVIDIA!E10/NVIDIA!E6</f>
        <v>0.27178410794602698</v>
      </c>
      <c r="F68" s="85">
        <f>NVIDIA!F10/NVIDIA!F6</f>
        <v>0.2606704524638212</v>
      </c>
      <c r="G68" s="85">
        <f>AVERAGE(B68:F68)</f>
        <v>0.32066872936517204</v>
      </c>
      <c r="H68" s="77">
        <f>_xlfn.RANK.EQ(G68,G68:G73,0)</f>
        <v>2</v>
      </c>
    </row>
    <row r="69" spans="1:20" x14ac:dyDescent="0.15">
      <c r="A69" s="162" t="s">
        <v>11</v>
      </c>
      <c r="B69" s="87">
        <f>AMD!B10/AMD!B6</f>
        <v>7.3686251696722896E-2</v>
      </c>
      <c r="C69" s="87">
        <f>AMD!C10/AMD!C6</f>
        <v>1.7680776014109348E-2</v>
      </c>
      <c r="D69" s="87">
        <f>AMD!D10/AMD!D6</f>
        <v>5.3557052667259859E-2</v>
      </c>
      <c r="E69" s="87">
        <f>AMD!E10/AMD!E6</f>
        <v>0.22197882438846295</v>
      </c>
      <c r="F69" s="87">
        <f>AMD!F10/AMD!F6</f>
        <v>0.14022329202089523</v>
      </c>
      <c r="G69" s="85">
        <f t="shared" ref="G69:G73" si="16">AVERAGE(B69:F69)</f>
        <v>0.10142523935749007</v>
      </c>
      <c r="H69" s="77">
        <f>_xlfn.RANK.EQ(G69,G68:G73,0)</f>
        <v>6</v>
      </c>
    </row>
    <row r="70" spans="1:20" x14ac:dyDescent="0.15">
      <c r="A70" s="162" t="s">
        <v>12</v>
      </c>
      <c r="B70" s="85">
        <f>Qualcomm!B9/Qualcomm!B5</f>
        <v>0.21929059083209282</v>
      </c>
      <c r="C70" s="85">
        <f>Qualcomm!C9/Qualcomm!C5</f>
        <v>0.19098269123394751</v>
      </c>
      <c r="D70" s="85">
        <f>Qualcomm!D9/Qualcomm!D5</f>
        <v>0.29499999999999998</v>
      </c>
      <c r="E70" s="85">
        <f>Qualcomm!E9/Qualcomm!E5</f>
        <v>0.24450336650181731</v>
      </c>
      <c r="F70" s="85">
        <f>Qualcomm!F9/Qualcomm!F5</f>
        <v>0.20543113339849561</v>
      </c>
      <c r="G70" s="85">
        <f t="shared" si="16"/>
        <v>0.23104155639327068</v>
      </c>
      <c r="H70" s="77">
        <f>_xlfn.RANK.EQ(G70,G68:G73,0)</f>
        <v>3</v>
      </c>
    </row>
    <row r="71" spans="1:20" x14ac:dyDescent="0.15">
      <c r="A71" s="162" t="s">
        <v>13</v>
      </c>
      <c r="B71" s="85">
        <f>ARM!B12/ARM!B7</f>
        <v>0.2073870726229099</v>
      </c>
      <c r="C71" s="85">
        <f>ARM!C12/ARM!C7</f>
        <v>3.4333436436746058E-2</v>
      </c>
      <c r="D71" s="85">
        <f>ARM!D12/ARM!D7</f>
        <v>0.25046659201194477</v>
      </c>
      <c r="E71" s="85">
        <f>ARM!E12/ARM!E7</f>
        <v>0.23418423973362931</v>
      </c>
      <c r="F71" s="85">
        <f>ARM!F12/ARM!F7</f>
        <v>0.11790823877651702</v>
      </c>
      <c r="G71" s="85">
        <f>AVERAGE(B71:F71)</f>
        <v>0.16885591591634941</v>
      </c>
      <c r="H71" s="77">
        <f>_xlfn.RANK.EQ(G71,G68:G73,0)</f>
        <v>4</v>
      </c>
    </row>
    <row r="72" spans="1:20" x14ac:dyDescent="0.15">
      <c r="A72" s="162" t="s">
        <v>14</v>
      </c>
      <c r="B72" s="88">
        <f>TSMC!B7/TSMC!B4</f>
        <v>0.45679438897142655</v>
      </c>
      <c r="C72" s="88">
        <f>TSMC!C7/TSMC!C4</f>
        <v>0.42628486839061852</v>
      </c>
      <c r="D72" s="88">
        <f>TSMC!D7/TSMC!D4</f>
        <v>0.49529572860992088</v>
      </c>
      <c r="E72" s="88">
        <f>TSMC!E7/TSMC!E4</f>
        <v>0.4094746125740204</v>
      </c>
      <c r="F72" s="88">
        <f>TSMC!F7/TSMC!F4</f>
        <v>0.42320615246770699</v>
      </c>
      <c r="G72" s="85">
        <f t="shared" si="16"/>
        <v>0.4422111502027386</v>
      </c>
      <c r="H72" s="77">
        <f>_xlfn.RANK.EQ(G72,G68:G73,0)</f>
        <v>1</v>
      </c>
    </row>
    <row r="73" spans="1:20" x14ac:dyDescent="0.15">
      <c r="A73" s="162" t="s">
        <v>15</v>
      </c>
      <c r="B73" s="87">
        <f>Intel!B10/Intel!B5</f>
        <v>-7.2107869908287978E-2</v>
      </c>
      <c r="C73" s="87">
        <f>Intel!C10/Intel!C5</f>
        <v>2.3345872980747952E-2</v>
      </c>
      <c r="D73" s="87">
        <f>Intel!D10/Intel!D5</f>
        <v>6.2105496875693847E-2</v>
      </c>
      <c r="E73" s="87">
        <f>Intel!E10/Intel!E5</f>
        <v>0.27943409597084429</v>
      </c>
      <c r="F73" s="87">
        <f>Intel!F10/Intel!F5</f>
        <v>0.30662539972003544</v>
      </c>
      <c r="G73" s="85">
        <f t="shared" si="16"/>
        <v>0.11988059912780671</v>
      </c>
      <c r="H73" s="77">
        <f>_xlfn.RANK.EQ(G73,G68:G73,0)</f>
        <v>5</v>
      </c>
    </row>
    <row r="75" spans="1:20" ht="16" x14ac:dyDescent="0.2">
      <c r="A75" s="200" t="s">
        <v>29</v>
      </c>
      <c r="B75" s="200"/>
      <c r="C75" s="200"/>
      <c r="D75" s="200"/>
      <c r="E75" s="200"/>
      <c r="F75" s="200"/>
      <c r="G75" s="154"/>
      <c r="J75" s="212" t="s">
        <v>30</v>
      </c>
      <c r="K75" s="213"/>
      <c r="L75" s="213"/>
      <c r="M75" s="213"/>
      <c r="N75" s="213"/>
      <c r="O75" s="214"/>
      <c r="P75" s="219" t="s">
        <v>31</v>
      </c>
      <c r="Q75" s="219"/>
      <c r="R75" s="219"/>
      <c r="S75" s="219"/>
      <c r="T75" s="219"/>
    </row>
    <row r="76" spans="1:20" ht="16" x14ac:dyDescent="0.2">
      <c r="A76" s="167" t="s">
        <v>17</v>
      </c>
      <c r="B76" s="167" t="s">
        <v>18</v>
      </c>
      <c r="C76" s="167" t="s">
        <v>19</v>
      </c>
      <c r="D76" s="167" t="s">
        <v>20</v>
      </c>
      <c r="E76" s="167" t="s">
        <v>21</v>
      </c>
      <c r="F76" s="167" t="s">
        <v>8</v>
      </c>
      <c r="G76" s="167" t="s">
        <v>9</v>
      </c>
      <c r="J76" s="215" t="s">
        <v>32</v>
      </c>
      <c r="K76" s="216"/>
      <c r="L76" s="216"/>
      <c r="M76" s="216"/>
      <c r="N76" s="216"/>
      <c r="O76" s="217"/>
      <c r="P76" s="215" t="s">
        <v>32</v>
      </c>
      <c r="Q76" s="216"/>
      <c r="R76" s="216"/>
      <c r="S76" s="216"/>
      <c r="T76" s="216"/>
    </row>
    <row r="77" spans="1:20" ht="15" x14ac:dyDescent="0.2">
      <c r="A77" s="162" t="s">
        <v>10</v>
      </c>
      <c r="B77" s="85">
        <f>B68/C68-1</f>
        <v>2.4561499963191884</v>
      </c>
      <c r="C77" s="85">
        <f t="shared" ref="C77:E77" si="17">C68/D68-1</f>
        <v>-0.58026050337532475</v>
      </c>
      <c r="D77" s="85">
        <f t="shared" si="17"/>
        <v>0.37269692369818919</v>
      </c>
      <c r="E77" s="85">
        <f t="shared" si="17"/>
        <v>4.2634887756402895E-2</v>
      </c>
      <c r="F77" s="85">
        <f>AVERAGE(B77:E77)</f>
        <v>0.57280532609961399</v>
      </c>
      <c r="G77" s="77">
        <f>_xlfn.RANK.EQ(F77,F77:F82,0)</f>
        <v>3</v>
      </c>
      <c r="J77" s="180" t="s">
        <v>17</v>
      </c>
      <c r="K77" s="180">
        <v>2024</v>
      </c>
      <c r="L77" s="180">
        <v>2023</v>
      </c>
      <c r="M77" s="180">
        <v>2022</v>
      </c>
      <c r="N77" s="180">
        <v>2021</v>
      </c>
      <c r="O77" s="180">
        <v>2020</v>
      </c>
      <c r="P77" s="180" t="s">
        <v>17</v>
      </c>
      <c r="Q77" s="180" t="s">
        <v>18</v>
      </c>
      <c r="R77" s="180" t="s">
        <v>19</v>
      </c>
      <c r="S77" s="180" t="s">
        <v>20</v>
      </c>
      <c r="T77" s="180" t="s">
        <v>21</v>
      </c>
    </row>
    <row r="78" spans="1:20" x14ac:dyDescent="0.15">
      <c r="A78" s="162" t="s">
        <v>11</v>
      </c>
      <c r="B78" s="85">
        <f>B69/C69</f>
        <v>4.1675914924730053</v>
      </c>
      <c r="C78" s="85">
        <f t="shared" ref="C78:E78" si="18">C69/D69</f>
        <v>0.33012974264952116</v>
      </c>
      <c r="D78" s="85">
        <f t="shared" si="18"/>
        <v>0.2412709987756986</v>
      </c>
      <c r="E78" s="85">
        <f t="shared" si="18"/>
        <v>1.5830381756790093</v>
      </c>
      <c r="F78" s="85">
        <f t="shared" ref="F78:F82" si="19">AVERAGE(B78:E78)</f>
        <v>1.5805076023943085</v>
      </c>
      <c r="G78" s="77">
        <f>_xlfn.RANK.EQ(F78,F77:F82,0)</f>
        <v>1</v>
      </c>
      <c r="J78" s="2" t="s">
        <v>10</v>
      </c>
      <c r="K78" s="153">
        <f>NVIDIA!B52/NVIDIA!B57</f>
        <v>0.78009586028035849</v>
      </c>
      <c r="L78" s="153">
        <f>NVIDIA!C52/NVIDIA!C57</f>
        <v>0.55627641432490549</v>
      </c>
      <c r="M78" s="153">
        <f>NVIDIA!D52/NVIDIA!D57</f>
        <v>0.39433008842981349</v>
      </c>
      <c r="N78" s="153">
        <f>NVIDIA!E52/NVIDIA!E57</f>
        <v>0.40155922038980507</v>
      </c>
      <c r="O78" s="153">
        <f>NVIDIA!F52/NVIDIA!F57</f>
        <v>0.27321853819380837</v>
      </c>
      <c r="P78" s="2" t="s">
        <v>10</v>
      </c>
      <c r="Q78" s="153">
        <f>K78/L78-1</f>
        <v>0.40235293136970274</v>
      </c>
      <c r="R78" s="153">
        <f t="shared" ref="R78:T79" si="20">L78/M78-1</f>
        <v>0.41068721522100304</v>
      </c>
      <c r="S78" s="153">
        <f t="shared" si="20"/>
        <v>-1.8002654634536985E-2</v>
      </c>
      <c r="T78" s="153">
        <f t="shared" si="20"/>
        <v>0.46973636212400005</v>
      </c>
    </row>
    <row r="79" spans="1:20" x14ac:dyDescent="0.15">
      <c r="A79" s="162" t="s">
        <v>12</v>
      </c>
      <c r="B79" s="85">
        <f>B70/C70-1</f>
        <v>0.14822233059575574</v>
      </c>
      <c r="C79" s="85">
        <f t="shared" ref="C79:E79" si="21">C70/D70-1</f>
        <v>-0.35260104666458469</v>
      </c>
      <c r="D79" s="85">
        <f t="shared" si="21"/>
        <v>0.20652735469720973</v>
      </c>
      <c r="E79" s="85">
        <f t="shared" si="21"/>
        <v>0.1901962592375388</v>
      </c>
      <c r="F79" s="85">
        <f t="shared" si="19"/>
        <v>4.8086224466479893E-2</v>
      </c>
      <c r="G79" s="77">
        <f>_xlfn.RANK.EQ(F79,F77:F82,0)</f>
        <v>4</v>
      </c>
      <c r="J79" s="2" t="s">
        <v>11</v>
      </c>
      <c r="K79" s="153">
        <f>AMD!B45/AMD!B49</f>
        <v>0.48784176847004074</v>
      </c>
      <c r="L79" s="153">
        <f>AMD!C45/AMD!C49</f>
        <v>0.28641975308641976</v>
      </c>
      <c r="M79" s="153">
        <f>AMD!D45/AMD!D49</f>
        <v>0.25604847252235075</v>
      </c>
      <c r="N79" s="153">
        <f>AMD!E45/AMD!E49</f>
        <v>0.22477789947669466</v>
      </c>
      <c r="O79" s="153">
        <f>AMD!F45/AMD!F49</f>
        <v>0.17259039229744955</v>
      </c>
      <c r="P79" s="2" t="s">
        <v>11</v>
      </c>
      <c r="Q79" s="153">
        <f>K79/L79-1</f>
        <v>0.70324065715833184</v>
      </c>
      <c r="R79" s="153">
        <f t="shared" si="20"/>
        <v>0.11861535538517165</v>
      </c>
      <c r="S79" s="153">
        <f t="shared" si="20"/>
        <v>0.13911764954854156</v>
      </c>
      <c r="T79" s="153">
        <f t="shared" si="20"/>
        <v>0.30237782349612474</v>
      </c>
    </row>
    <row r="80" spans="1:20" x14ac:dyDescent="0.15">
      <c r="A80" s="162" t="s">
        <v>13</v>
      </c>
      <c r="B80" s="85">
        <f>B71/C71-1</f>
        <v>5.0403820341429517</v>
      </c>
      <c r="C80" s="85">
        <f t="shared" ref="C80:E80" si="22">C71/D71-1</f>
        <v>-0.86292209208041326</v>
      </c>
      <c r="D80" s="85">
        <f t="shared" si="22"/>
        <v>6.9527959254797267E-2</v>
      </c>
      <c r="E80" s="85">
        <f t="shared" si="22"/>
        <v>0.98615671104630387</v>
      </c>
      <c r="F80" s="85">
        <f t="shared" si="19"/>
        <v>1.30828615309091</v>
      </c>
      <c r="G80" s="77">
        <f>_xlfn.RANK.EQ(F80,F77:F82,0)</f>
        <v>2</v>
      </c>
      <c r="J80" s="2" t="s">
        <v>12</v>
      </c>
      <c r="K80" s="153" t="s">
        <v>33</v>
      </c>
      <c r="L80" s="153" t="s">
        <v>33</v>
      </c>
      <c r="M80" s="153" t="s">
        <v>33</v>
      </c>
      <c r="N80" s="153" t="s">
        <v>33</v>
      </c>
      <c r="O80" s="153" t="s">
        <v>33</v>
      </c>
      <c r="P80" s="2" t="s">
        <v>12</v>
      </c>
      <c r="Q80" s="153" t="s">
        <v>33</v>
      </c>
      <c r="R80" s="153" t="s">
        <v>33</v>
      </c>
      <c r="S80" s="153" t="s">
        <v>33</v>
      </c>
      <c r="T80" s="153" t="s">
        <v>33</v>
      </c>
    </row>
    <row r="81" spans="1:20" x14ac:dyDescent="0.15">
      <c r="A81" s="162" t="s">
        <v>14</v>
      </c>
      <c r="B81" s="85">
        <f>B72/C72-1</f>
        <v>7.1570733195369218E-2</v>
      </c>
      <c r="C81" s="85">
        <f t="shared" ref="C81:E81" si="23">C72/D72-1</f>
        <v>-0.13933263751937808</v>
      </c>
      <c r="D81" s="85">
        <f t="shared" si="23"/>
        <v>0.20958836860828978</v>
      </c>
      <c r="E81" s="85">
        <f t="shared" si="23"/>
        <v>-3.2446456209623276E-2</v>
      </c>
      <c r="F81" s="85">
        <f t="shared" si="19"/>
        <v>2.734500201866441E-2</v>
      </c>
      <c r="G81" s="77">
        <f>_xlfn.RANK.EQ(F81,F77:F82,0)</f>
        <v>5</v>
      </c>
      <c r="J81" s="2" t="s">
        <v>15</v>
      </c>
      <c r="K81" s="153">
        <f>Intel!B55/Intel!B60</f>
        <v>0.24137021901659103</v>
      </c>
      <c r="L81" s="153">
        <f>Intel!C55/Intel!C60</f>
        <v>0.28621745223869588</v>
      </c>
      <c r="M81" s="153">
        <f>Intel!D55/Intel!D60</f>
        <v>0.30838646239731027</v>
      </c>
      <c r="N81" s="153">
        <f>Intel!E55/Intel!E60</f>
        <v>0.28819092933792267</v>
      </c>
      <c r="O81" s="153">
        <f>Intel!F55/Intel!F60</f>
        <v>0.29823958014878221</v>
      </c>
      <c r="P81" s="2" t="s">
        <v>15</v>
      </c>
      <c r="Q81" s="153">
        <f>K81/L81-1</f>
        <v>-0.15668937331153288</v>
      </c>
      <c r="R81" s="153">
        <f>L81/M81-1</f>
        <v>-7.1887105504822357E-2</v>
      </c>
      <c r="S81" s="153">
        <f>M81/N81-1</f>
        <v>7.0076921247257618E-2</v>
      </c>
      <c r="T81" s="153">
        <f>N81/O81-1</f>
        <v>-3.3693216728130415E-2</v>
      </c>
    </row>
    <row r="82" spans="1:20" ht="16" x14ac:dyDescent="0.2">
      <c r="A82" s="162" t="s">
        <v>15</v>
      </c>
      <c r="B82" s="85">
        <f>B73/C73-1</f>
        <v>-4.0886773849815485</v>
      </c>
      <c r="C82" s="85">
        <f t="shared" ref="C82:E82" si="24">C73/D73-1</f>
        <v>-0.62409329036565842</v>
      </c>
      <c r="D82" s="85">
        <f t="shared" si="24"/>
        <v>-0.77774545851350285</v>
      </c>
      <c r="E82" s="85">
        <f t="shared" si="24"/>
        <v>-8.8679228054878045E-2</v>
      </c>
      <c r="F82" s="85">
        <f t="shared" si="19"/>
        <v>-1.3947988404788969</v>
      </c>
      <c r="G82" s="77">
        <f>_xlfn.RANK.EQ(F82,F77:F82,0)</f>
        <v>6</v>
      </c>
      <c r="J82" s="204" t="s">
        <v>34</v>
      </c>
      <c r="K82" s="205"/>
      <c r="L82" s="205"/>
      <c r="M82" s="205"/>
      <c r="N82" s="205"/>
      <c r="O82" s="218"/>
      <c r="P82" s="204" t="s">
        <v>34</v>
      </c>
      <c r="Q82" s="205"/>
      <c r="R82" s="205"/>
      <c r="S82" s="205"/>
      <c r="T82" s="205"/>
    </row>
    <row r="83" spans="1:20" ht="15" x14ac:dyDescent="0.2">
      <c r="B83" s="130"/>
      <c r="C83" s="130"/>
      <c r="D83" s="130"/>
      <c r="E83" s="130"/>
      <c r="F83" s="130"/>
      <c r="G83" s="181"/>
      <c r="J83" s="180" t="s">
        <v>17</v>
      </c>
      <c r="K83" s="180">
        <v>2024</v>
      </c>
      <c r="L83" s="180">
        <v>2023</v>
      </c>
      <c r="M83" s="180">
        <v>2022</v>
      </c>
      <c r="N83" s="180">
        <v>2021</v>
      </c>
      <c r="O83" s="180">
        <v>2020</v>
      </c>
      <c r="P83" s="180" t="s">
        <v>17</v>
      </c>
      <c r="Q83" s="180" t="s">
        <v>18</v>
      </c>
      <c r="R83" s="180" t="s">
        <v>19</v>
      </c>
      <c r="S83" s="180" t="s">
        <v>20</v>
      </c>
      <c r="T83" s="180" t="s">
        <v>21</v>
      </c>
    </row>
    <row r="84" spans="1:20" ht="16" x14ac:dyDescent="0.2">
      <c r="A84" s="192" t="s">
        <v>35</v>
      </c>
      <c r="B84" s="193"/>
      <c r="C84" s="193"/>
      <c r="D84" s="193"/>
      <c r="E84" s="193"/>
      <c r="F84" s="193"/>
      <c r="G84" s="193"/>
      <c r="H84" s="193"/>
      <c r="J84" s="2" t="s">
        <v>10</v>
      </c>
      <c r="K84" s="153">
        <f>NVIDIA!B53/NVIDIA!B57</f>
        <v>0.17148156659334887</v>
      </c>
      <c r="L84" s="153">
        <f>NVIDIA!C53/NVIDIA!C57</f>
        <v>0.3361385037443464</v>
      </c>
      <c r="M84" s="153">
        <f>NVIDIA!D53/NVIDIA!D57</f>
        <v>0.46303039310396077</v>
      </c>
      <c r="N84" s="153">
        <f>NVIDIA!E53/NVIDIA!E57</f>
        <v>0.46530734632683657</v>
      </c>
      <c r="O84" s="153">
        <f>NVIDIA!F53/NVIDIA!F57</f>
        <v>0.50540392013189228</v>
      </c>
      <c r="P84" s="2" t="s">
        <v>10</v>
      </c>
      <c r="Q84" s="153">
        <f>K84/L84-1</f>
        <v>-0.48984848601643405</v>
      </c>
      <c r="R84" s="153">
        <f t="shared" ref="R84:T85" si="25">L84/M84-1</f>
        <v>-0.27404656637976743</v>
      </c>
      <c r="S84" s="153">
        <f t="shared" si="25"/>
        <v>-4.8934392307583563E-3</v>
      </c>
      <c r="T84" s="153">
        <f t="shared" si="25"/>
        <v>-7.9335700036897161E-2</v>
      </c>
    </row>
    <row r="85" spans="1:20" x14ac:dyDescent="0.15">
      <c r="A85" s="167" t="s">
        <v>17</v>
      </c>
      <c r="B85" s="167">
        <v>2024</v>
      </c>
      <c r="C85" s="167">
        <v>2023</v>
      </c>
      <c r="D85" s="167">
        <v>2022</v>
      </c>
      <c r="E85" s="167">
        <v>2021</v>
      </c>
      <c r="F85" s="167">
        <v>2020</v>
      </c>
      <c r="G85" s="167" t="s">
        <v>8</v>
      </c>
      <c r="H85" s="167" t="s">
        <v>9</v>
      </c>
      <c r="J85" s="2" t="s">
        <v>11</v>
      </c>
      <c r="K85" s="153">
        <f>AMD!B47/AMD!B49</f>
        <v>0.10063990692262943</v>
      </c>
      <c r="L85" s="153">
        <f>AMD!C47/AMD!C49</f>
        <v>0.27389770723104057</v>
      </c>
      <c r="M85" s="153">
        <f>AMD!D47/AMD!D49</f>
        <v>0.28833524003220201</v>
      </c>
      <c r="N85" s="153">
        <f>AMD!E47/AMD!E49</f>
        <v>0.34118291347207008</v>
      </c>
      <c r="O85" s="153">
        <f>AMD!F47/AMD!F49</f>
        <v>0.28126600430195636</v>
      </c>
      <c r="P85" s="2" t="s">
        <v>11</v>
      </c>
      <c r="Q85" s="153">
        <f>K85/L85-1</f>
        <v>-0.63256389423611792</v>
      </c>
      <c r="R85" s="153">
        <f t="shared" si="25"/>
        <v>-5.00720369787232E-2</v>
      </c>
      <c r="S85" s="153">
        <f t="shared" si="25"/>
        <v>-0.15489542809181234</v>
      </c>
      <c r="T85" s="153">
        <f t="shared" si="25"/>
        <v>0.21302577721333593</v>
      </c>
    </row>
    <row r="86" spans="1:20" x14ac:dyDescent="0.15">
      <c r="A86" s="162" t="s">
        <v>10</v>
      </c>
      <c r="B86" s="85">
        <f>NVIDIA!B8/NVIDIA!B6</f>
        <v>0.72717573290436954</v>
      </c>
      <c r="C86" s="85">
        <f>NVIDIA!C8/NVIDIA!C6</f>
        <v>0.56928894490991322</v>
      </c>
      <c r="D86" s="85">
        <f>NVIDIA!D8/NVIDIA!D6</f>
        <v>0.64929033216913135</v>
      </c>
      <c r="E86" s="85">
        <f>NVIDIA!E8/NVIDIA!E6</f>
        <v>0.62344827586206897</v>
      </c>
      <c r="F86" s="85">
        <f>NVIDIA!F8/NVIDIA!F6</f>
        <v>0.61989375343469499</v>
      </c>
      <c r="G86" s="85">
        <f>AVERAGE(B86:F86)</f>
        <v>0.63781940785603564</v>
      </c>
      <c r="H86" s="77">
        <f>_xlfn.RANK.EQ(G86,G86:G91,0)</f>
        <v>2</v>
      </c>
      <c r="J86" s="2" t="s">
        <v>12</v>
      </c>
      <c r="K86" s="133" t="s">
        <v>33</v>
      </c>
      <c r="L86" s="133" t="s">
        <v>33</v>
      </c>
      <c r="M86" s="133" t="s">
        <v>33</v>
      </c>
      <c r="N86" s="133" t="s">
        <v>33</v>
      </c>
      <c r="O86" s="133" t="s">
        <v>33</v>
      </c>
      <c r="P86" s="2" t="s">
        <v>12</v>
      </c>
      <c r="Q86" s="133" t="s">
        <v>33</v>
      </c>
      <c r="R86" s="133" t="s">
        <v>33</v>
      </c>
      <c r="S86" s="133" t="s">
        <v>33</v>
      </c>
      <c r="T86" s="133" t="s">
        <v>33</v>
      </c>
    </row>
    <row r="87" spans="1:20" x14ac:dyDescent="0.15">
      <c r="A87" s="162" t="s">
        <v>11</v>
      </c>
      <c r="B87" s="87">
        <f>AMD!B8/AMD!B6</f>
        <v>0.49350397517936784</v>
      </c>
      <c r="C87" s="87">
        <f>AMD!C8/AMD!C6</f>
        <v>0.46119929453262787</v>
      </c>
      <c r="D87" s="87">
        <f>AMD!D8/AMD!D6</f>
        <v>0.4492606245498072</v>
      </c>
      <c r="E87" s="87">
        <f>AMD!E8/AMD!E6</f>
        <v>0.48247535596933189</v>
      </c>
      <c r="F87" s="87">
        <f>AMD!F8/AMD!F6</f>
        <v>0.44525248386766364</v>
      </c>
      <c r="G87" s="85">
        <f t="shared" ref="G87:G91" si="26">AVERAGE(B87:F87)</f>
        <v>0.46633834681975966</v>
      </c>
      <c r="H87" s="77">
        <f>_xlfn.RANK.EQ(G87,G86:G91,0)</f>
        <v>6</v>
      </c>
      <c r="J87" s="2" t="s">
        <v>15</v>
      </c>
      <c r="K87" s="133" t="s">
        <v>33</v>
      </c>
      <c r="L87" s="133" t="s">
        <v>33</v>
      </c>
      <c r="M87" s="133" t="s">
        <v>33</v>
      </c>
      <c r="N87" s="133" t="s">
        <v>33</v>
      </c>
      <c r="O87" s="133" t="s">
        <v>33</v>
      </c>
      <c r="P87" s="2" t="s">
        <v>15</v>
      </c>
      <c r="Q87" s="153" t="s">
        <v>33</v>
      </c>
      <c r="R87" s="153" t="s">
        <v>33</v>
      </c>
      <c r="S87" s="153" t="s">
        <v>33</v>
      </c>
      <c r="T87" s="153" t="s">
        <v>33</v>
      </c>
    </row>
    <row r="88" spans="1:20" ht="16" x14ac:dyDescent="0.2">
      <c r="A88" s="162" t="s">
        <v>12</v>
      </c>
      <c r="B88" s="85">
        <f>Qualcomm!B7/Qualcomm!B5</f>
        <v>0.56213746727580716</v>
      </c>
      <c r="C88" s="85">
        <f>Qualcomm!C7/Qualcomm!C5</f>
        <v>0.55697934115019543</v>
      </c>
      <c r="D88" s="85">
        <f>Qualcomm!D7/Qualcomm!D5</f>
        <v>0.5783936651583711</v>
      </c>
      <c r="E88" s="85">
        <f>Qualcomm!E7/Qualcomm!E5</f>
        <v>0.57510576178275641</v>
      </c>
      <c r="F88" s="85">
        <f>Qualcomm!F7/Qualcomm!F5</f>
        <v>0.606689048489227</v>
      </c>
      <c r="G88" s="85">
        <f t="shared" si="26"/>
        <v>0.57586105677127153</v>
      </c>
      <c r="H88" s="77">
        <f>_xlfn.RANK.EQ(G88,G86:G91,0)</f>
        <v>3</v>
      </c>
      <c r="J88" s="206" t="s">
        <v>36</v>
      </c>
      <c r="K88" s="207"/>
      <c r="L88" s="207"/>
      <c r="M88" s="207"/>
      <c r="N88" s="207"/>
      <c r="O88" s="208"/>
      <c r="P88" s="206" t="s">
        <v>36</v>
      </c>
      <c r="Q88" s="207"/>
      <c r="R88" s="207"/>
      <c r="S88" s="207"/>
      <c r="T88" s="207"/>
    </row>
    <row r="89" spans="1:20" ht="15" x14ac:dyDescent="0.2">
      <c r="A89" s="162" t="s">
        <v>13</v>
      </c>
      <c r="B89" s="85">
        <f>ARM!B10/ARM!B7</f>
        <v>0.96980284502121283</v>
      </c>
      <c r="C89" s="85">
        <f>ARM!C10/ARM!C7</f>
        <v>0.95236622332199194</v>
      </c>
      <c r="D89" s="85">
        <f>ARM!D10/ARM!D7</f>
        <v>1.0350877192982457</v>
      </c>
      <c r="E89" s="85">
        <f>ARM!E10/ARM!E7</f>
        <v>1.0484646688864225</v>
      </c>
      <c r="F89" s="85">
        <f>ARM!F10/ARM!F7</f>
        <v>0.92846571287617163</v>
      </c>
      <c r="G89" s="85">
        <f>AVERAGE(B89:F89)</f>
        <v>0.9868374338808088</v>
      </c>
      <c r="H89" s="77">
        <f>_xlfn.RANK.EQ(G89,G86:G91,0)</f>
        <v>1</v>
      </c>
      <c r="J89" s="180" t="s">
        <v>17</v>
      </c>
      <c r="K89" s="180">
        <v>2024</v>
      </c>
      <c r="L89" s="180">
        <v>2023</v>
      </c>
      <c r="M89" s="180">
        <v>2022</v>
      </c>
      <c r="N89" s="180">
        <v>2021</v>
      </c>
      <c r="O89" s="180">
        <v>2020</v>
      </c>
      <c r="P89" s="180" t="s">
        <v>17</v>
      </c>
      <c r="Q89" s="180" t="s">
        <v>18</v>
      </c>
      <c r="R89" s="180" t="s">
        <v>19</v>
      </c>
      <c r="S89" s="180" t="s">
        <v>20</v>
      </c>
      <c r="T89" s="180" t="s">
        <v>21</v>
      </c>
    </row>
    <row r="90" spans="1:20" x14ac:dyDescent="0.15">
      <c r="A90" s="162" t="s">
        <v>14</v>
      </c>
      <c r="B90" s="88">
        <f>TSMC!B6/TSMC!B4</f>
        <v>0.56120650934595584</v>
      </c>
      <c r="C90" s="88">
        <f>TSMC!C6/TSMC!C4</f>
        <v>0.54359994448813431</v>
      </c>
      <c r="D90" s="88">
        <f>TSMC!D6/TSMC!D4</f>
        <v>0.59560934670259291</v>
      </c>
      <c r="E90" s="88">
        <f>TSMC!E6/TSMC!E4</f>
        <v>0.51625299231447652</v>
      </c>
      <c r="F90" s="88">
        <f>TSMC!F6/TSMC!F4</f>
        <v>0.53094900321063243</v>
      </c>
      <c r="G90" s="85">
        <f t="shared" si="26"/>
        <v>0.5495235592123584</v>
      </c>
      <c r="H90" s="77">
        <f>_xlfn.RANK.EQ(G90,G86:G91,0)</f>
        <v>4</v>
      </c>
      <c r="J90" s="2" t="s">
        <v>10</v>
      </c>
      <c r="K90" s="153">
        <f>NVIDIA!B56/NVIDIA!B57</f>
        <v>5.0228160598798461E-3</v>
      </c>
      <c r="L90" s="153">
        <f>NVIDIA!C56/NVIDIA!C57</f>
        <v>1.6868095202787869E-2</v>
      </c>
      <c r="M90" s="153">
        <f>NVIDIA!D56/NVIDIA!D57</f>
        <v>4.3174555993163409E-2</v>
      </c>
      <c r="N90" s="153">
        <f>NVIDIA!E56/NVIDIA!E57</f>
        <v>3.7841079460269864E-2</v>
      </c>
      <c r="O90" s="153">
        <f>NVIDIA!F56/NVIDIA!F57</f>
        <v>4.6253892654332295E-2</v>
      </c>
      <c r="P90" s="2" t="s">
        <v>10</v>
      </c>
      <c r="Q90" s="153">
        <f>K90/L90-1</f>
        <v>-0.70222980132044177</v>
      </c>
      <c r="R90" s="153">
        <f t="shared" ref="R90:T93" si="27">L90/M90-1</f>
        <v>-0.60930472092269128</v>
      </c>
      <c r="S90" s="153">
        <f t="shared" si="27"/>
        <v>0.14094409062757518</v>
      </c>
      <c r="T90" s="153">
        <f t="shared" si="27"/>
        <v>-0.18188335535202693</v>
      </c>
    </row>
    <row r="91" spans="1:20" x14ac:dyDescent="0.15">
      <c r="A91" s="162" t="s">
        <v>15</v>
      </c>
      <c r="B91" s="87">
        <f>Intel!B7/Intel!B5</f>
        <v>0.3431950434078454</v>
      </c>
      <c r="C91" s="87">
        <f>Intel!C7/Intel!C5</f>
        <v>0.42313933761156597</v>
      </c>
      <c r="D91" s="87">
        <f>Intel!D7/Intel!D5</f>
        <v>0.45113712056332667</v>
      </c>
      <c r="E91" s="87">
        <f>Intel!E7/Intel!E5</f>
        <v>0.5544518121077141</v>
      </c>
      <c r="F91" s="87">
        <f>Intel!F7/Intel!F5</f>
        <v>0.5600832188218372</v>
      </c>
      <c r="G91" s="85">
        <f t="shared" si="26"/>
        <v>0.46640130650245792</v>
      </c>
      <c r="H91" s="77">
        <f>_xlfn.RANK.EQ(G91,G86:G91,0)</f>
        <v>5</v>
      </c>
      <c r="J91" s="2" t="s">
        <v>11</v>
      </c>
      <c r="K91" s="153">
        <f>AMD!B46/AMD!B49</f>
        <v>0.27356990498351758</v>
      </c>
      <c r="L91" s="153">
        <f>AMD!C46/AMD!C49</f>
        <v>0.20507054673721339</v>
      </c>
      <c r="M91" s="153">
        <f>AMD!D46/AMD!D49</f>
        <v>0.26274310410575824</v>
      </c>
      <c r="N91" s="153">
        <f>AMD!E46/AMD!E49</f>
        <v>0.41907022027503954</v>
      </c>
      <c r="O91" s="153">
        <f>AMD!F46/AMD!F49</f>
        <v>0.53149646625012803</v>
      </c>
      <c r="P91" s="2" t="s">
        <v>11</v>
      </c>
      <c r="Q91" s="153">
        <f>K91/L91-1</f>
        <v>0.33402826166978694</v>
      </c>
      <c r="R91" s="153">
        <f t="shared" si="27"/>
        <v>-0.21950169754152993</v>
      </c>
      <c r="S91" s="153">
        <f t="shared" si="27"/>
        <v>-0.37303322595120791</v>
      </c>
      <c r="T91" s="153">
        <f t="shared" si="27"/>
        <v>-0.21152773934376357</v>
      </c>
    </row>
    <row r="92" spans="1:20" x14ac:dyDescent="0.15">
      <c r="J92" s="2" t="s">
        <v>12</v>
      </c>
      <c r="K92" s="153">
        <f>Qualcomm!B59/Qualcomm!B62</f>
        <v>0.74897578021448363</v>
      </c>
      <c r="L92" s="153">
        <f>Qualcomm!C59/Qualcomm!C62</f>
        <v>0.74287407017312879</v>
      </c>
      <c r="M92" s="153">
        <f>Qualcomm!D59/Qualcomm!D62</f>
        <v>0.76479019030177564</v>
      </c>
      <c r="N92" s="153">
        <f>Qualcomm!E59/Qualcomm!E62</f>
        <v>0.77678670565157848</v>
      </c>
      <c r="O92" s="153">
        <f>Qualcomm!F59/Qualcomm!F62</f>
        <v>0.77748135572667187</v>
      </c>
      <c r="P92" s="2" t="s">
        <v>12</v>
      </c>
      <c r="Q92" s="153">
        <f>K92/L92-1</f>
        <v>8.2136532776448945E-3</v>
      </c>
      <c r="R92" s="153">
        <f t="shared" si="27"/>
        <v>-2.8656382373313471E-2</v>
      </c>
      <c r="S92" s="153">
        <f t="shared" si="27"/>
        <v>-1.5443770165633808E-2</v>
      </c>
      <c r="T92" s="153">
        <f t="shared" si="27"/>
        <v>-8.934620360692147E-4</v>
      </c>
    </row>
    <row r="93" spans="1:20" ht="16" x14ac:dyDescent="0.2">
      <c r="A93" s="192" t="s">
        <v>37</v>
      </c>
      <c r="B93" s="193"/>
      <c r="C93" s="193"/>
      <c r="D93" s="193"/>
      <c r="E93" s="193"/>
      <c r="F93" s="193"/>
      <c r="G93" s="154"/>
      <c r="J93" s="2" t="s">
        <v>15</v>
      </c>
      <c r="K93" s="153">
        <f>Intel!B56/Intel!B60</f>
        <v>0.57042240259128829</v>
      </c>
      <c r="L93" s="153">
        <f>Intel!C56/Intel!C60</f>
        <v>0.53953677067197758</v>
      </c>
      <c r="M93" s="153">
        <f>Intel!D56/Intel!D60</f>
        <v>0.50390141783233422</v>
      </c>
      <c r="N93" s="153">
        <f>Intel!E56/Intel!E60</f>
        <v>0.51985472767766749</v>
      </c>
      <c r="O93" s="153">
        <f>Intel!F56/Intel!F60</f>
        <v>0.51634311627432994</v>
      </c>
      <c r="P93" s="2" t="s">
        <v>15</v>
      </c>
      <c r="Q93" s="153">
        <f>K93/L93-1</f>
        <v>5.7244721024006351E-2</v>
      </c>
      <c r="R93" s="153">
        <f t="shared" si="27"/>
        <v>7.0718897741820719E-2</v>
      </c>
      <c r="S93" s="153">
        <f t="shared" si="27"/>
        <v>-3.0688015316511663E-2</v>
      </c>
      <c r="T93" s="153">
        <f t="shared" si="27"/>
        <v>6.8009261528954035E-3</v>
      </c>
    </row>
    <row r="94" spans="1:20" ht="16" x14ac:dyDescent="0.2">
      <c r="A94" s="167" t="s">
        <v>17</v>
      </c>
      <c r="B94" s="167" t="s">
        <v>18</v>
      </c>
      <c r="C94" s="167" t="s">
        <v>19</v>
      </c>
      <c r="D94" s="167" t="s">
        <v>20</v>
      </c>
      <c r="E94" s="167" t="s">
        <v>21</v>
      </c>
      <c r="F94" s="167" t="s">
        <v>8</v>
      </c>
      <c r="G94" s="167" t="s">
        <v>9</v>
      </c>
      <c r="J94" s="209" t="s">
        <v>38</v>
      </c>
      <c r="K94" s="210"/>
      <c r="L94" s="210"/>
      <c r="M94" s="210"/>
      <c r="N94" s="210"/>
      <c r="O94" s="211"/>
      <c r="P94" s="209" t="s">
        <v>38</v>
      </c>
      <c r="Q94" s="210"/>
      <c r="R94" s="210"/>
      <c r="S94" s="210"/>
      <c r="T94" s="210"/>
    </row>
    <row r="95" spans="1:20" ht="15" x14ac:dyDescent="0.2">
      <c r="A95" s="162" t="s">
        <v>10</v>
      </c>
      <c r="B95" s="85">
        <f t="shared" ref="B95:E100" si="28">B86/C86-1</f>
        <v>0.27734033728591201</v>
      </c>
      <c r="C95" s="85">
        <f t="shared" si="28"/>
        <v>-0.12321358149897543</v>
      </c>
      <c r="D95" s="85">
        <f t="shared" si="28"/>
        <v>4.1450200935000403E-2</v>
      </c>
      <c r="E95" s="85">
        <f t="shared" si="28"/>
        <v>5.7340833129535529E-3</v>
      </c>
      <c r="F95" s="85">
        <f>AVERAGE(B95:E95)</f>
        <v>5.0327760008722633E-2</v>
      </c>
      <c r="G95" s="77">
        <f>_xlfn.RANK.EQ(F95,F95:F100,0)</f>
        <v>1</v>
      </c>
      <c r="J95" s="180" t="s">
        <v>17</v>
      </c>
      <c r="K95" s="180">
        <v>2024</v>
      </c>
      <c r="L95" s="180">
        <v>2023</v>
      </c>
      <c r="M95" s="180">
        <v>2022</v>
      </c>
      <c r="N95" s="180">
        <v>2021</v>
      </c>
      <c r="O95" s="180">
        <v>2020</v>
      </c>
      <c r="P95" s="180" t="s">
        <v>17</v>
      </c>
      <c r="Q95" s="180" t="s">
        <v>18</v>
      </c>
      <c r="R95" s="180" t="s">
        <v>19</v>
      </c>
      <c r="S95" s="180" t="s">
        <v>20</v>
      </c>
      <c r="T95" s="180" t="s">
        <v>21</v>
      </c>
    </row>
    <row r="96" spans="1:20" x14ac:dyDescent="0.15">
      <c r="A96" s="162" t="s">
        <v>11</v>
      </c>
      <c r="B96" s="87">
        <f t="shared" si="28"/>
        <v>7.0044948094460935E-2</v>
      </c>
      <c r="C96" s="87">
        <f t="shared" si="28"/>
        <v>2.6574040390884734E-2</v>
      </c>
      <c r="D96" s="87">
        <f t="shared" si="28"/>
        <v>-6.8842337766233941E-2</v>
      </c>
      <c r="E96" s="87">
        <f t="shared" si="28"/>
        <v>8.3599470975060264E-2</v>
      </c>
      <c r="F96" s="85">
        <f t="shared" ref="F96:F100" si="29">AVERAGE(B96:E96)</f>
        <v>2.7844030423542998E-2</v>
      </c>
      <c r="G96" s="77">
        <f>_xlfn.RANK.EQ(F96,F95:F100,0)</f>
        <v>2</v>
      </c>
      <c r="J96" s="2" t="s">
        <v>10</v>
      </c>
      <c r="K96" s="133" t="s">
        <v>33</v>
      </c>
      <c r="L96" s="133" t="s">
        <v>33</v>
      </c>
      <c r="M96" s="133" t="s">
        <v>33</v>
      </c>
      <c r="N96" s="133" t="s">
        <v>33</v>
      </c>
      <c r="O96" s="133" t="s">
        <v>33</v>
      </c>
      <c r="P96" s="2" t="s">
        <v>10</v>
      </c>
      <c r="Q96" s="153" t="s">
        <v>33</v>
      </c>
      <c r="R96" s="153" t="s">
        <v>33</v>
      </c>
      <c r="S96" s="153" t="s">
        <v>33</v>
      </c>
      <c r="T96" s="153" t="s">
        <v>33</v>
      </c>
    </row>
    <row r="97" spans="1:20" x14ac:dyDescent="0.15">
      <c r="A97" s="162" t="s">
        <v>12</v>
      </c>
      <c r="B97" s="85">
        <f t="shared" si="28"/>
        <v>9.2608930790141208E-3</v>
      </c>
      <c r="C97" s="85">
        <f t="shared" si="28"/>
        <v>-3.7023787254502838E-2</v>
      </c>
      <c r="D97" s="85">
        <f t="shared" si="28"/>
        <v>5.7170412715439323E-3</v>
      </c>
      <c r="E97" s="85">
        <f t="shared" si="28"/>
        <v>-5.2058442104928493E-2</v>
      </c>
      <c r="F97" s="85">
        <f t="shared" si="29"/>
        <v>-1.8526073752218319E-2</v>
      </c>
      <c r="G97" s="77">
        <f>_xlfn.RANK.EQ(F97,F95:F100,0)</f>
        <v>5</v>
      </c>
      <c r="J97" s="2" t="s">
        <v>11</v>
      </c>
      <c r="K97" s="153">
        <f>AMD!B48/AMD!B49</f>
        <v>0.1379484196238123</v>
      </c>
      <c r="L97" s="153">
        <f>AMD!C48/AMD!C49</f>
        <v>0.23461199294532628</v>
      </c>
      <c r="M97" s="153">
        <f>AMD!D48/AMD!D49</f>
        <v>0.192873183339689</v>
      </c>
      <c r="N97" s="153">
        <f>AMD!E48/AMD!E49</f>
        <v>1.4968966776195691E-2</v>
      </c>
      <c r="O97" s="153">
        <f>AMD!F48/AMD!F49</f>
        <v>1.4647137150466045E-2</v>
      </c>
      <c r="P97" s="2" t="s">
        <v>11</v>
      </c>
      <c r="Q97" s="153">
        <f>K97/L97-1</f>
        <v>-0.41201462938017985</v>
      </c>
      <c r="R97" s="153">
        <f t="shared" ref="R97:T97" si="30">L97/M97-1</f>
        <v>0.21640545815084478</v>
      </c>
      <c r="S97" s="153">
        <f t="shared" si="30"/>
        <v>11.884869491888004</v>
      </c>
      <c r="T97" s="153">
        <f t="shared" si="30"/>
        <v>2.1972186265724059E-2</v>
      </c>
    </row>
    <row r="98" spans="1:20" x14ac:dyDescent="0.15">
      <c r="A98" s="162" t="s">
        <v>13</v>
      </c>
      <c r="B98" s="85">
        <f t="shared" si="28"/>
        <v>1.8308735938155518E-2</v>
      </c>
      <c r="C98" s="85">
        <f t="shared" si="28"/>
        <v>-7.9917377468584183E-2</v>
      </c>
      <c r="D98" s="85">
        <f t="shared" si="28"/>
        <v>-1.2758607881736772E-2</v>
      </c>
      <c r="E98" s="85">
        <f t="shared" si="28"/>
        <v>0.12924435910349552</v>
      </c>
      <c r="F98" s="85">
        <f t="shared" si="29"/>
        <v>1.3719277422832521E-2</v>
      </c>
      <c r="G98" s="77">
        <f>_xlfn.RANK.EQ(F98,F95:F100,0)</f>
        <v>4</v>
      </c>
      <c r="J98" s="2" t="s">
        <v>12</v>
      </c>
      <c r="K98" s="133" t="s">
        <v>33</v>
      </c>
      <c r="L98" s="133" t="s">
        <v>33</v>
      </c>
      <c r="M98" s="133" t="s">
        <v>33</v>
      </c>
      <c r="N98" s="133" t="s">
        <v>33</v>
      </c>
      <c r="O98" s="133" t="s">
        <v>33</v>
      </c>
      <c r="P98" s="2" t="s">
        <v>12</v>
      </c>
      <c r="Q98" s="153" t="s">
        <v>33</v>
      </c>
      <c r="R98" s="153" t="s">
        <v>33</v>
      </c>
      <c r="S98" s="153" t="s">
        <v>33</v>
      </c>
      <c r="T98" s="153" t="s">
        <v>33</v>
      </c>
    </row>
    <row r="99" spans="1:20" x14ac:dyDescent="0.15">
      <c r="A99" s="162" t="s">
        <v>14</v>
      </c>
      <c r="B99" s="88">
        <f t="shared" si="28"/>
        <v>3.2388827549274746E-2</v>
      </c>
      <c r="C99" s="88">
        <f t="shared" si="28"/>
        <v>-8.7321333189938288E-2</v>
      </c>
      <c r="D99" s="88">
        <f t="shared" si="28"/>
        <v>0.15371601824978143</v>
      </c>
      <c r="E99" s="88">
        <f t="shared" si="28"/>
        <v>-2.7678761627368265E-2</v>
      </c>
      <c r="F99" s="85">
        <f t="shared" si="29"/>
        <v>1.7776187745437405E-2</v>
      </c>
      <c r="G99" s="77">
        <f>_xlfn.RANK.EQ(F99,F95:F100,0)</f>
        <v>3</v>
      </c>
      <c r="J99" s="2" t="s">
        <v>15</v>
      </c>
      <c r="K99" s="153">
        <f>Intel!B57/Intel!B60</f>
        <v>0.11001676051298469</v>
      </c>
      <c r="L99" s="153">
        <f>Intel!C57/Intel!C60</f>
        <v>0.10647635907649185</v>
      </c>
      <c r="M99" s="153">
        <f>Intel!D57/Intel!D60</f>
        <v>0.13336188029308213</v>
      </c>
      <c r="N99" s="153">
        <f>Intel!E57/Intel!E60</f>
        <v>9.6995849362219069E-2</v>
      </c>
      <c r="O99" s="153">
        <f>Intel!F57/Intel!F60</f>
        <v>9.084887394272903E-2</v>
      </c>
      <c r="P99" s="2" t="s">
        <v>15</v>
      </c>
      <c r="Q99" s="153">
        <f>K99/L99-1</f>
        <v>3.3250586958457617E-2</v>
      </c>
      <c r="R99" s="153">
        <f t="shared" ref="R99:T99" si="31">L99/M99-1</f>
        <v>-0.20159824649671587</v>
      </c>
      <c r="S99" s="153">
        <f t="shared" si="31"/>
        <v>0.37492357837971602</v>
      </c>
      <c r="T99" s="153">
        <f t="shared" si="31"/>
        <v>6.7661547718963266E-2</v>
      </c>
    </row>
    <row r="100" spans="1:20" ht="16" x14ac:dyDescent="0.2">
      <c r="A100" s="162" t="s">
        <v>15</v>
      </c>
      <c r="B100" s="87">
        <f t="shared" si="28"/>
        <v>-0.18893136869516947</v>
      </c>
      <c r="C100" s="87">
        <f t="shared" si="28"/>
        <v>-6.2060472693535762E-2</v>
      </c>
      <c r="D100" s="87">
        <f t="shared" si="28"/>
        <v>-0.18633664691552376</v>
      </c>
      <c r="E100" s="87">
        <f t="shared" si="28"/>
        <v>-1.0054589255448554E-2</v>
      </c>
      <c r="F100" s="85">
        <f t="shared" si="29"/>
        <v>-0.11184576938991939</v>
      </c>
      <c r="G100" s="77">
        <f>_xlfn.RANK.EQ(F100,F95:F100,0)</f>
        <v>6</v>
      </c>
      <c r="J100" s="190" t="s">
        <v>39</v>
      </c>
      <c r="K100" s="191"/>
      <c r="L100" s="191"/>
      <c r="M100" s="191"/>
      <c r="N100" s="191"/>
      <c r="O100" s="195"/>
      <c r="P100" s="190" t="s">
        <v>39</v>
      </c>
      <c r="Q100" s="191"/>
      <c r="R100" s="191"/>
      <c r="S100" s="191"/>
      <c r="T100" s="191"/>
    </row>
    <row r="101" spans="1:20" ht="15" x14ac:dyDescent="0.2">
      <c r="A101" s="124"/>
      <c r="B101" s="124"/>
      <c r="C101" s="124"/>
      <c r="D101" s="124"/>
      <c r="E101" s="124"/>
      <c r="F101" s="125"/>
      <c r="J101" s="180" t="s">
        <v>17</v>
      </c>
      <c r="K101" s="180">
        <v>2024</v>
      </c>
      <c r="L101" s="180">
        <v>2023</v>
      </c>
      <c r="M101" s="180">
        <v>2022</v>
      </c>
      <c r="N101" s="180">
        <v>2021</v>
      </c>
      <c r="O101" s="180">
        <v>2020</v>
      </c>
      <c r="P101" s="180" t="s">
        <v>17</v>
      </c>
      <c r="Q101" s="180" t="s">
        <v>18</v>
      </c>
      <c r="R101" s="180" t="s">
        <v>19</v>
      </c>
      <c r="S101" s="180" t="s">
        <v>20</v>
      </c>
      <c r="T101" s="180" t="s">
        <v>21</v>
      </c>
    </row>
    <row r="102" spans="1:20" ht="16" x14ac:dyDescent="0.2">
      <c r="A102" s="192" t="s">
        <v>40</v>
      </c>
      <c r="B102" s="193"/>
      <c r="C102" s="193"/>
      <c r="D102" s="193"/>
      <c r="E102" s="193"/>
      <c r="F102" s="193"/>
      <c r="G102" s="131"/>
      <c r="H102" s="154"/>
      <c r="J102" s="2" t="s">
        <v>10</v>
      </c>
      <c r="K102" s="153">
        <f>NVIDIA!B55/NVIDIA!B57</f>
        <v>1.7908144840944159E-2</v>
      </c>
      <c r="L102" s="153">
        <f>NVIDIA!C55/NVIDIA!C57</f>
        <v>3.3476681248609773E-2</v>
      </c>
      <c r="M102" s="153">
        <f>NVIDIA!D55/NVIDIA!D57</f>
        <v>2.1029947239354984E-2</v>
      </c>
      <c r="N102" s="153">
        <f>NVIDIA!E55/NVIDIA!E57</f>
        <v>3.2143928035982011E-2</v>
      </c>
      <c r="O102" s="153">
        <f>NVIDIA!F55/NVIDIA!F57</f>
        <v>6.4114306649569519E-2</v>
      </c>
      <c r="P102" s="2" t="s">
        <v>10</v>
      </c>
      <c r="Q102" s="153">
        <f>K102/L102-1</f>
        <v>-0.46505614735367917</v>
      </c>
      <c r="R102" s="153">
        <f t="shared" ref="R102:T102" si="32">L102/M102-1</f>
        <v>0.59185759562735574</v>
      </c>
      <c r="S102" s="153">
        <f t="shared" si="32"/>
        <v>-0.34575677198461874</v>
      </c>
      <c r="T102" s="153">
        <f t="shared" si="32"/>
        <v>-0.49864656243306915</v>
      </c>
    </row>
    <row r="103" spans="1:20" x14ac:dyDescent="0.15">
      <c r="A103" s="167" t="s">
        <v>17</v>
      </c>
      <c r="B103" s="167">
        <v>2024</v>
      </c>
      <c r="C103" s="167">
        <v>2023</v>
      </c>
      <c r="D103" s="167">
        <v>2022</v>
      </c>
      <c r="E103" s="167">
        <v>2021</v>
      </c>
      <c r="F103" s="167">
        <v>2020</v>
      </c>
      <c r="G103" s="167" t="s">
        <v>8</v>
      </c>
      <c r="H103" s="167" t="s">
        <v>9</v>
      </c>
      <c r="J103" s="2" t="s">
        <v>11</v>
      </c>
      <c r="K103" s="153" t="s">
        <v>33</v>
      </c>
      <c r="L103" s="153" t="s">
        <v>33</v>
      </c>
      <c r="M103" s="153" t="s">
        <v>33</v>
      </c>
      <c r="N103" s="153" t="s">
        <v>33</v>
      </c>
      <c r="O103" s="153" t="s">
        <v>33</v>
      </c>
      <c r="P103" s="2" t="s">
        <v>11</v>
      </c>
      <c r="Q103" s="153" t="s">
        <v>33</v>
      </c>
      <c r="R103" s="153" t="s">
        <v>33</v>
      </c>
      <c r="S103" s="153" t="s">
        <v>33</v>
      </c>
      <c r="T103" s="153" t="s">
        <v>33</v>
      </c>
    </row>
    <row r="104" spans="1:20" x14ac:dyDescent="0.15">
      <c r="A104" s="162" t="s">
        <v>10</v>
      </c>
      <c r="B104" s="73">
        <f>NVIDIA!B14/NVIDIA!B6</f>
        <v>0.4884934834706674</v>
      </c>
      <c r="C104" s="73">
        <f>NVIDIA!C14/NVIDIA!C6</f>
        <v>0.16193371394676356</v>
      </c>
      <c r="D104" s="73">
        <f>NVIDIA!D14/NVIDIA!D6</f>
        <v>0.36233930296499961</v>
      </c>
      <c r="E104" s="73">
        <f>NVIDIA!E14/NVIDIA!E6</f>
        <v>0.25979010494752625</v>
      </c>
      <c r="F104" s="73">
        <f>NVIDIA!F14/NVIDIA!F6</f>
        <v>0.25609085913170909</v>
      </c>
      <c r="G104" s="85">
        <f>AVERAGE(B104:F104)</f>
        <v>0.3057294928923332</v>
      </c>
      <c r="H104" s="77">
        <f>_xlfn.RANK.EQ(G104,G104:G109,0)</f>
        <v>2</v>
      </c>
      <c r="J104" s="2" t="s">
        <v>12</v>
      </c>
      <c r="K104" s="153">
        <f>Qualcomm!B61/Qualcomm!B62</f>
        <v>8.7661163995662122E-2</v>
      </c>
      <c r="L104" s="153">
        <f>Qualcomm!C61/Qualcomm!C62</f>
        <v>6.1615430188927657E-2</v>
      </c>
      <c r="M104" s="153">
        <f>Qualcomm!D61/Qualcomm!D62</f>
        <v>4.0050959471295486E-2</v>
      </c>
      <c r="N104" s="153">
        <f>Qualcomm!E61/Qualcomm!E62</f>
        <v>3.6085717458085052E-2</v>
      </c>
      <c r="O104" s="153">
        <f>Qualcomm!F61/Qualcomm!F62</f>
        <v>3.9046868368398713E-2</v>
      </c>
      <c r="P104" s="2" t="s">
        <v>12</v>
      </c>
      <c r="Q104" s="153">
        <f>K104/L104-1</f>
        <v>0.42271446822446923</v>
      </c>
      <c r="R104" s="153">
        <f t="shared" ref="R104:T104" si="33">L104/M104-1</f>
        <v>0.53842582056211219</v>
      </c>
      <c r="S104" s="153">
        <f t="shared" si="33"/>
        <v>0.10988397328711041</v>
      </c>
      <c r="T104" s="153">
        <f t="shared" si="33"/>
        <v>-7.5835810502799972E-2</v>
      </c>
    </row>
    <row r="105" spans="1:20" x14ac:dyDescent="0.15">
      <c r="A105" s="162" t="s">
        <v>11</v>
      </c>
      <c r="B105" s="87">
        <f>AMD!B13/AMD!B6</f>
        <v>6.3641652123327522E-2</v>
      </c>
      <c r="C105" s="87">
        <f>AMD!C13/AMD!C6</f>
        <v>3.7654320987654324E-2</v>
      </c>
      <c r="D105" s="87">
        <f>AMD!D13/AMD!D6</f>
        <v>5.5929833481632135E-2</v>
      </c>
      <c r="E105" s="87">
        <f>AMD!E13/AMD!E6</f>
        <v>0.19240598758671049</v>
      </c>
      <c r="F105" s="87">
        <f>AMD!F13/AMD!F6</f>
        <v>0.25504455597664655</v>
      </c>
      <c r="G105" s="85">
        <f t="shared" ref="G105:G109" si="34">AVERAGE(B105:F105)</f>
        <v>0.1209352700311942</v>
      </c>
      <c r="H105" s="77">
        <f>_xlfn.RANK.EQ(G105,G104:G109,0)</f>
        <v>5</v>
      </c>
      <c r="J105" s="2" t="s">
        <v>15</v>
      </c>
      <c r="K105" s="153" t="s">
        <v>33</v>
      </c>
      <c r="L105" s="153" t="s">
        <v>33</v>
      </c>
      <c r="M105" s="153" t="s">
        <v>33</v>
      </c>
      <c r="N105" s="153" t="s">
        <v>33</v>
      </c>
      <c r="O105" s="153" t="s">
        <v>33</v>
      </c>
      <c r="P105" s="2" t="s">
        <v>15</v>
      </c>
      <c r="Q105" s="153" t="s">
        <v>33</v>
      </c>
      <c r="R105" s="153" t="s">
        <v>33</v>
      </c>
      <c r="S105" s="153" t="s">
        <v>33</v>
      </c>
      <c r="T105" s="153" t="s">
        <v>33</v>
      </c>
    </row>
    <row r="106" spans="1:20" x14ac:dyDescent="0.15">
      <c r="A106" s="162" t="s">
        <v>12</v>
      </c>
      <c r="B106" s="85">
        <f>Qualcomm!B13/Qualcomm!B5</f>
        <v>0.26030491247882553</v>
      </c>
      <c r="C106" s="85">
        <f>Qualcomm!C13/Qualcomm!C5</f>
        <v>0.20189838079285316</v>
      </c>
      <c r="D106" s="85">
        <f>Qualcomm!D13/Qualcomm!D5</f>
        <v>0.29266968325791853</v>
      </c>
      <c r="E106" s="85">
        <f>Qualcomm!E13/Qualcomm!E5</f>
        <v>0.2694095215396532</v>
      </c>
      <c r="F106" s="85">
        <f>Qualcomm!F13/Qualcomm!F5</f>
        <v>0.22090008924397603</v>
      </c>
      <c r="G106" s="85">
        <f t="shared" si="34"/>
        <v>0.2490365174626453</v>
      </c>
      <c r="H106" s="77">
        <f>_xlfn.RANK.EQ(G106,G104:G109,0)</f>
        <v>3</v>
      </c>
    </row>
    <row r="107" spans="1:20" x14ac:dyDescent="0.15">
      <c r="A107" s="162" t="s">
        <v>13</v>
      </c>
      <c r="B107" s="85">
        <f>ARM!B8/ARM!B7</f>
        <v>0.19765410531569752</v>
      </c>
      <c r="C107" s="85">
        <f>ARM!C8/ARM!C7</f>
        <v>9.4648932879678321E-2</v>
      </c>
      <c r="D107" s="85">
        <f>ARM!D8/ARM!D7</f>
        <v>0.19559537140724151</v>
      </c>
      <c r="E107" s="85">
        <f>ARM!E8/ARM!E7</f>
        <v>0.25009248982611915</v>
      </c>
      <c r="F107" s="85">
        <f>ARM!F8/ARM!F7</f>
        <v>0.26837691169215588</v>
      </c>
      <c r="G107" s="85">
        <f>AVERAGE(B107:F107)</f>
        <v>0.2012735622241785</v>
      </c>
      <c r="H107" s="77">
        <f>_xlfn.RANK.EQ(G107,G104:G109,0)</f>
        <v>4</v>
      </c>
    </row>
    <row r="108" spans="1:20" x14ac:dyDescent="0.15">
      <c r="A108" s="162" t="s">
        <v>14</v>
      </c>
      <c r="B108" s="88">
        <f>TSMC!B10/TSMC!B4</f>
        <v>0.35103479252323533</v>
      </c>
      <c r="C108" s="88">
        <f>TSMC!C10/TSMC!C4</f>
        <v>0.38164407642133508</v>
      </c>
      <c r="D108" s="88">
        <f>TSMC!D10/TSMC!D4</f>
        <v>0.44878307345730817</v>
      </c>
      <c r="E108" s="88">
        <f>TSMC!E10/TSMC!E4</f>
        <v>0.37608668262567718</v>
      </c>
      <c r="F108" s="88">
        <f>TSMC!F10/TSMC!F4</f>
        <v>0.3860225490928097</v>
      </c>
      <c r="G108" s="85">
        <f t="shared" si="34"/>
        <v>0.38871423482407313</v>
      </c>
      <c r="H108" s="77">
        <f>_xlfn.RANK.EQ(G108,G104:G109,0)</f>
        <v>1</v>
      </c>
    </row>
    <row r="109" spans="1:20" x14ac:dyDescent="0.15">
      <c r="A109" s="162" t="s">
        <v>15</v>
      </c>
      <c r="B109" s="87">
        <f>Intel!B14/Intel!B5</f>
        <v>-0.35321368712453627</v>
      </c>
      <c r="C109" s="87">
        <f>Intel!C14/Intel!C5</f>
        <v>3.1146271298959947E-2</v>
      </c>
      <c r="D109" s="87">
        <f>Intel!D14/Intel!D5</f>
        <v>0.1270974085704317</v>
      </c>
      <c r="E109" s="87">
        <f>Intel!E14/Intel!E5</f>
        <v>0.25141729094958493</v>
      </c>
      <c r="F109" s="87">
        <f>Intel!F14/Intel!F5</f>
        <v>0.26839354283586114</v>
      </c>
      <c r="G109" s="85">
        <f t="shared" si="34"/>
        <v>6.4968165306060283E-2</v>
      </c>
      <c r="H109" s="77">
        <f>_xlfn.RANK.EQ(G109,G104:G109,0)</f>
        <v>6</v>
      </c>
    </row>
    <row r="111" spans="1:20" ht="16" x14ac:dyDescent="0.2">
      <c r="A111" s="192" t="s">
        <v>41</v>
      </c>
      <c r="B111" s="193"/>
      <c r="C111" s="193"/>
      <c r="D111" s="193"/>
      <c r="E111" s="193"/>
      <c r="F111" s="193"/>
      <c r="G111" s="154"/>
    </row>
    <row r="112" spans="1:20" x14ac:dyDescent="0.15">
      <c r="A112" s="167" t="s">
        <v>17</v>
      </c>
      <c r="B112" s="167" t="s">
        <v>18</v>
      </c>
      <c r="C112" s="167" t="s">
        <v>19</v>
      </c>
      <c r="D112" s="167" t="s">
        <v>20</v>
      </c>
      <c r="E112" s="167" t="s">
        <v>21</v>
      </c>
      <c r="F112" s="167" t="s">
        <v>8</v>
      </c>
      <c r="G112" s="167" t="s">
        <v>9</v>
      </c>
    </row>
    <row r="113" spans="1:8" x14ac:dyDescent="0.15">
      <c r="A113" s="162" t="s">
        <v>10</v>
      </c>
      <c r="B113" s="73">
        <f t="shared" ref="B113:B118" si="35">B104/C104-1</f>
        <v>2.0166261957733016</v>
      </c>
      <c r="C113" s="73">
        <f t="shared" ref="C113:E113" si="36">C104/D104-1</f>
        <v>-0.55308818938031235</v>
      </c>
      <c r="D113" s="73">
        <f t="shared" si="36"/>
        <v>0.39473866042044503</v>
      </c>
      <c r="E113" s="73">
        <f t="shared" si="36"/>
        <v>1.444505215203562E-2</v>
      </c>
      <c r="F113" s="73">
        <f>AVERAGE(B113:E113)</f>
        <v>0.46818042974136748</v>
      </c>
      <c r="G113" s="77">
        <f>_xlfn.RANK.EQ(F113,F113:F118,0)</f>
        <v>1</v>
      </c>
    </row>
    <row r="114" spans="1:8" x14ac:dyDescent="0.15">
      <c r="A114" s="162" t="s">
        <v>11</v>
      </c>
      <c r="B114" s="87">
        <f t="shared" si="35"/>
        <v>0.69015535147197671</v>
      </c>
      <c r="C114" s="87">
        <f t="shared" ref="C114:E114" si="37">C105/D105-1</f>
        <v>-0.32675785634118959</v>
      </c>
      <c r="D114" s="87">
        <f t="shared" si="37"/>
        <v>-0.70931344609831037</v>
      </c>
      <c r="E114" s="87">
        <f t="shared" si="37"/>
        <v>-0.24559853140198618</v>
      </c>
      <c r="F114" s="73">
        <f t="shared" ref="F114:F118" si="38">AVERAGE(B114:E114)</f>
        <v>-0.14787862059237736</v>
      </c>
      <c r="G114" s="77">
        <f>_xlfn.RANK.EQ(F114,F113:F118,0)</f>
        <v>5</v>
      </c>
    </row>
    <row r="115" spans="1:8" x14ac:dyDescent="0.15">
      <c r="A115" s="162" t="s">
        <v>12</v>
      </c>
      <c r="B115" s="85">
        <f t="shared" si="35"/>
        <v>0.2892867761326785</v>
      </c>
      <c r="C115" s="85">
        <f t="shared" ref="C115:E115" si="39">C106/D106-1</f>
        <v>-0.31014931732806816</v>
      </c>
      <c r="D115" s="85">
        <f t="shared" si="39"/>
        <v>8.6337563666404327E-2</v>
      </c>
      <c r="E115" s="85">
        <f t="shared" si="39"/>
        <v>0.21959897101761827</v>
      </c>
      <c r="F115" s="73">
        <f t="shared" si="38"/>
        <v>7.1268498372158234E-2</v>
      </c>
      <c r="G115" s="77">
        <f>_xlfn.RANK.EQ(F115,F113:F118,0)</f>
        <v>3</v>
      </c>
    </row>
    <row r="116" spans="1:8" x14ac:dyDescent="0.15">
      <c r="A116" s="162" t="s">
        <v>13</v>
      </c>
      <c r="B116" s="85">
        <f t="shared" si="35"/>
        <v>1.088286674789706</v>
      </c>
      <c r="C116" s="85">
        <f t="shared" ref="C116:E116" si="40">C107/D107-1</f>
        <v>-0.51609829926591944</v>
      </c>
      <c r="D116" s="85">
        <f t="shared" si="40"/>
        <v>-0.21790785663642931</v>
      </c>
      <c r="E116" s="85">
        <f t="shared" si="40"/>
        <v>-6.8129638092750855E-2</v>
      </c>
      <c r="F116" s="73">
        <f t="shared" si="38"/>
        <v>7.1537720198651594E-2</v>
      </c>
      <c r="G116" s="77">
        <f>_xlfn.RANK.EQ(F116,F113:F118,0)</f>
        <v>2</v>
      </c>
    </row>
    <row r="117" spans="1:8" x14ac:dyDescent="0.15">
      <c r="A117" s="162" t="s">
        <v>14</v>
      </c>
      <c r="B117" s="88">
        <f t="shared" si="35"/>
        <v>-8.020374424548149E-2</v>
      </c>
      <c r="C117" s="88">
        <f t="shared" ref="C117:E117" si="41">C108/D108-1</f>
        <v>-0.14960233798202704</v>
      </c>
      <c r="D117" s="88">
        <f t="shared" si="41"/>
        <v>0.1932969025228326</v>
      </c>
      <c r="E117" s="88">
        <f t="shared" si="41"/>
        <v>-2.5739083093676118E-2</v>
      </c>
      <c r="F117" s="73">
        <f t="shared" si="38"/>
        <v>-1.5562065699588012E-2</v>
      </c>
      <c r="G117" s="77">
        <f>_xlfn.RANK.EQ(F117,F113:F118,0)</f>
        <v>4</v>
      </c>
    </row>
    <row r="118" spans="1:8" ht="14" customHeight="1" x14ac:dyDescent="0.15">
      <c r="A118" s="162" t="s">
        <v>15</v>
      </c>
      <c r="B118" s="87">
        <f t="shared" si="35"/>
        <v>-12.340480654463796</v>
      </c>
      <c r="C118" s="87">
        <f t="shared" ref="C118:E118" si="42">C109/D109-1</f>
        <v>-0.7549417281651335</v>
      </c>
      <c r="D118" s="87">
        <f t="shared" si="42"/>
        <v>-0.49447626258960165</v>
      </c>
      <c r="E118" s="87">
        <f t="shared" si="42"/>
        <v>-6.3251342438809033E-2</v>
      </c>
      <c r="F118" s="73">
        <f t="shared" si="38"/>
        <v>-3.4132874969143354</v>
      </c>
      <c r="G118" s="77">
        <f>_xlfn.RANK.EQ(F118,F113:F118,0)</f>
        <v>6</v>
      </c>
    </row>
    <row r="119" spans="1:8" ht="14" customHeight="1" x14ac:dyDescent="0.15"/>
    <row r="120" spans="1:8" ht="16" customHeight="1" x14ac:dyDescent="0.2">
      <c r="A120" s="192" t="s">
        <v>42</v>
      </c>
      <c r="B120" s="193"/>
      <c r="C120" s="193"/>
      <c r="D120" s="193"/>
      <c r="E120" s="193"/>
      <c r="F120" s="194"/>
      <c r="G120" s="131"/>
      <c r="H120" s="154"/>
    </row>
    <row r="121" spans="1:8" ht="14" customHeight="1" x14ac:dyDescent="0.15">
      <c r="A121" s="167" t="s">
        <v>17</v>
      </c>
      <c r="B121" s="167">
        <v>2024</v>
      </c>
      <c r="C121" s="167">
        <v>2023</v>
      </c>
      <c r="D121" s="167">
        <v>2022</v>
      </c>
      <c r="E121" s="167">
        <v>2021</v>
      </c>
      <c r="F121" s="167">
        <v>2020</v>
      </c>
      <c r="G121" s="167" t="s">
        <v>8</v>
      </c>
      <c r="H121" s="167" t="s">
        <v>9</v>
      </c>
    </row>
    <row r="122" spans="1:8" ht="14" customHeight="1" x14ac:dyDescent="0.15">
      <c r="A122" s="162" t="s">
        <v>10</v>
      </c>
      <c r="B122" s="75">
        <f>NVIDIA!B33</f>
        <v>17524</v>
      </c>
      <c r="C122" s="75">
        <f>NVIDIA!C33</f>
        <v>-1734</v>
      </c>
      <c r="D122" s="75">
        <f>NVIDIA!D33</f>
        <v>-722</v>
      </c>
      <c r="E122" s="75">
        <f>NVIDIA!E33</f>
        <v>-13853</v>
      </c>
      <c r="F122" s="75">
        <f>NVIDIA!F33</f>
        <v>-1384</v>
      </c>
      <c r="G122" s="75">
        <f>AVERAGE(B122:F122)</f>
        <v>-33.799999999999997</v>
      </c>
      <c r="H122" s="75">
        <f>_xlfn.RANK.EQ(G122,G122:G127,0)</f>
        <v>6</v>
      </c>
    </row>
    <row r="123" spans="1:8" ht="14" customHeight="1" x14ac:dyDescent="0.15">
      <c r="A123" s="162" t="s">
        <v>11</v>
      </c>
      <c r="B123" s="75">
        <f>AMD!B66</f>
        <v>1501</v>
      </c>
      <c r="C123" s="75">
        <f>AMD!C66</f>
        <v>979</v>
      </c>
      <c r="D123" s="75">
        <f>AMD!D66</f>
        <v>3209</v>
      </c>
      <c r="E123" s="75">
        <f>AMD!E66</f>
        <v>3213</v>
      </c>
      <c r="F123" s="75">
        <f>AMD!F66</f>
        <v>777</v>
      </c>
      <c r="G123" s="75">
        <f t="shared" ref="G123:G127" si="43">AVERAGE(B123:F123)</f>
        <v>1935.8</v>
      </c>
      <c r="H123" s="75">
        <f>_xlfn.RANK.EQ(G123,G122:G127,0)</f>
        <v>3</v>
      </c>
    </row>
    <row r="124" spans="1:8" ht="14" customHeight="1" x14ac:dyDescent="0.15">
      <c r="A124" s="162" t="s">
        <v>12</v>
      </c>
      <c r="B124" s="75">
        <f>Qualcomm!B54</f>
        <v>8579</v>
      </c>
      <c r="C124" s="75">
        <f>Qualcomm!C54</f>
        <v>12061</v>
      </c>
      <c r="D124" s="75">
        <f>Qualcomm!D54</f>
        <v>3292</v>
      </c>
      <c r="E124" s="75">
        <f>Qualcomm!E54</f>
        <v>7180</v>
      </c>
      <c r="F124" s="75">
        <f>Qualcomm!F54</f>
        <v>551</v>
      </c>
      <c r="G124" s="75">
        <f t="shared" si="43"/>
        <v>6332.6</v>
      </c>
      <c r="H124" s="75">
        <f>_xlfn.RANK.EQ(G124,G122:G127,0)</f>
        <v>1</v>
      </c>
    </row>
    <row r="125" spans="1:8" ht="14" customHeight="1" x14ac:dyDescent="0.15">
      <c r="A125" s="162" t="s">
        <v>13</v>
      </c>
      <c r="B125" s="75">
        <f>ARM!B21</f>
        <v>362</v>
      </c>
      <c r="C125" s="75">
        <f>ARM!C21</f>
        <v>574</v>
      </c>
      <c r="D125" s="75">
        <f>ARM!D21</f>
        <v>601</v>
      </c>
      <c r="E125" s="75">
        <f>ARM!E21</f>
        <v>-161</v>
      </c>
      <c r="F125" s="75">
        <f>ARM!F21</f>
        <v>893</v>
      </c>
      <c r="G125" s="75">
        <f t="shared" si="43"/>
        <v>453.8</v>
      </c>
      <c r="H125" s="75">
        <f>_xlfn.RANK.EQ(G125,G122:G127,0)</f>
        <v>4</v>
      </c>
    </row>
    <row r="126" spans="1:8" ht="14" customHeight="1" x14ac:dyDescent="0.15">
      <c r="A126" s="162" t="s">
        <v>14</v>
      </c>
      <c r="B126" s="132">
        <f>TSMC!B44</f>
        <v>811.30000000000007</v>
      </c>
      <c r="C126" s="132">
        <f>TSMC!C44</f>
        <v>335.9</v>
      </c>
      <c r="D126" s="132">
        <f>TSMC!D44</f>
        <v>419.69999999999982</v>
      </c>
      <c r="E126" s="132">
        <f>TSMC!E44</f>
        <v>275.80000000000007</v>
      </c>
      <c r="F126" s="132">
        <f>TSMC!F44</f>
        <v>316.90000000000003</v>
      </c>
      <c r="G126" s="75">
        <f t="shared" si="43"/>
        <v>431.91999999999996</v>
      </c>
      <c r="H126" s="75">
        <f>_xlfn.RANK.EQ(G126,G122:G127,0)</f>
        <v>5</v>
      </c>
    </row>
    <row r="127" spans="1:8" ht="14" customHeight="1" x14ac:dyDescent="0.15">
      <c r="A127" s="162" t="s">
        <v>15</v>
      </c>
      <c r="B127" s="75">
        <f>Intel!B51</f>
        <v>-9968</v>
      </c>
      <c r="C127" s="75">
        <f>Intel!C51</f>
        <v>-12570</v>
      </c>
      <c r="D127" s="75">
        <f>Intel!D51</f>
        <v>5202</v>
      </c>
      <c r="E127" s="75">
        <f>Intel!E51</f>
        <v>11318</v>
      </c>
      <c r="F127" s="75">
        <f>Intel!F51</f>
        <v>20859</v>
      </c>
      <c r="G127" s="75">
        <f t="shared" si="43"/>
        <v>2968.2</v>
      </c>
      <c r="H127" s="75">
        <f>_xlfn.RANK.EQ(G127,G122:G127,0)</f>
        <v>2</v>
      </c>
    </row>
    <row r="128" spans="1:8" ht="14" customHeight="1" x14ac:dyDescent="0.15"/>
    <row r="129" spans="1:8" ht="16" customHeight="1" x14ac:dyDescent="0.2">
      <c r="A129" s="192" t="s">
        <v>43</v>
      </c>
      <c r="B129" s="193"/>
      <c r="C129" s="193"/>
      <c r="D129" s="193"/>
      <c r="E129" s="193"/>
      <c r="F129" s="193"/>
      <c r="G129" s="154"/>
    </row>
    <row r="130" spans="1:8" x14ac:dyDescent="0.15">
      <c r="A130" s="167" t="s">
        <v>17</v>
      </c>
      <c r="B130" s="167" t="s">
        <v>18</v>
      </c>
      <c r="C130" s="167" t="s">
        <v>19</v>
      </c>
      <c r="D130" s="167" t="s">
        <v>20</v>
      </c>
      <c r="E130" s="167" t="s">
        <v>21</v>
      </c>
      <c r="F130" s="167" t="s">
        <v>8</v>
      </c>
      <c r="G130" s="167" t="s">
        <v>9</v>
      </c>
    </row>
    <row r="131" spans="1:8" x14ac:dyDescent="0.15">
      <c r="A131" s="162" t="s">
        <v>10</v>
      </c>
      <c r="B131" s="85">
        <f t="shared" ref="B131:B136" si="44">B122/C122-1</f>
        <v>-11.106113033448674</v>
      </c>
      <c r="C131" s="85">
        <f t="shared" ref="C131:E131" si="45">C122/D122-1</f>
        <v>1.4016620498614958</v>
      </c>
      <c r="D131" s="85">
        <f t="shared" si="45"/>
        <v>-0.94788132534469072</v>
      </c>
      <c r="E131" s="85">
        <f t="shared" si="45"/>
        <v>9.0093930635838149</v>
      </c>
      <c r="F131" s="85">
        <f>AVERAGE(B131:E131)</f>
        <v>-0.41073481133701328</v>
      </c>
      <c r="G131" s="75">
        <f>_xlfn.RANK.EQ(F131,F131:F136,0)</f>
        <v>4</v>
      </c>
    </row>
    <row r="132" spans="1:8" x14ac:dyDescent="0.15">
      <c r="A132" s="162" t="s">
        <v>11</v>
      </c>
      <c r="B132" s="85">
        <f t="shared" si="44"/>
        <v>0.53319713993871298</v>
      </c>
      <c r="C132" s="85">
        <f t="shared" ref="C132:E132" si="46">C123/D123-1</f>
        <v>-0.69492053599252102</v>
      </c>
      <c r="D132" s="85">
        <f t="shared" si="46"/>
        <v>-1.2449424214130422E-3</v>
      </c>
      <c r="E132" s="85">
        <f t="shared" si="46"/>
        <v>3.1351351351351351</v>
      </c>
      <c r="F132" s="85">
        <f t="shared" ref="F132:F136" si="47">AVERAGE(B132:E132)</f>
        <v>0.74304169916497853</v>
      </c>
      <c r="G132" s="75">
        <f>_xlfn.RANK.EQ(F132,F131:F136,0)</f>
        <v>2</v>
      </c>
    </row>
    <row r="133" spans="1:8" x14ac:dyDescent="0.15">
      <c r="A133" s="162" t="s">
        <v>12</v>
      </c>
      <c r="B133" s="85">
        <f t="shared" si="44"/>
        <v>-0.28869911284304783</v>
      </c>
      <c r="C133" s="85">
        <f t="shared" ref="C133:E133" si="48">C124/D124-1</f>
        <v>2.6637302551640341</v>
      </c>
      <c r="D133" s="85">
        <f t="shared" si="48"/>
        <v>-0.54150417827298047</v>
      </c>
      <c r="E133" s="85">
        <f t="shared" si="48"/>
        <v>12.030852994555353</v>
      </c>
      <c r="F133" s="85">
        <f t="shared" si="47"/>
        <v>3.4660949896508395</v>
      </c>
      <c r="G133" s="75">
        <f>_xlfn.RANK.EQ(F133,F131:F136,0)</f>
        <v>1</v>
      </c>
    </row>
    <row r="134" spans="1:8" x14ac:dyDescent="0.15">
      <c r="A134" s="162" t="s">
        <v>13</v>
      </c>
      <c r="B134" s="85">
        <f t="shared" si="44"/>
        <v>-0.36933797909407662</v>
      </c>
      <c r="C134" s="85">
        <f t="shared" ref="C134:E134" si="49">C125/D125-1</f>
        <v>-4.4925124792013271E-2</v>
      </c>
      <c r="D134" s="85">
        <f t="shared" si="49"/>
        <v>-4.7329192546583849</v>
      </c>
      <c r="E134" s="85">
        <f t="shared" si="49"/>
        <v>-1.1802911534154534</v>
      </c>
      <c r="F134" s="85">
        <f t="shared" si="47"/>
        <v>-1.581868377989982</v>
      </c>
      <c r="G134" s="75">
        <f>_xlfn.RANK.EQ(F134,F131:F136,0)</f>
        <v>6</v>
      </c>
    </row>
    <row r="135" spans="1:8" x14ac:dyDescent="0.15">
      <c r="A135" s="162" t="s">
        <v>14</v>
      </c>
      <c r="B135" s="121">
        <f t="shared" si="44"/>
        <v>1.4153021732658533</v>
      </c>
      <c r="C135" s="121">
        <f t="shared" ref="C135:E135" si="50">C126/D126-1</f>
        <v>-0.19966642840123872</v>
      </c>
      <c r="D135" s="121">
        <f t="shared" si="50"/>
        <v>0.52175489485134041</v>
      </c>
      <c r="E135" s="121">
        <f t="shared" si="50"/>
        <v>-0.12969390975070993</v>
      </c>
      <c r="F135" s="85">
        <f t="shared" si="47"/>
        <v>0.40192418249131129</v>
      </c>
      <c r="G135" s="75">
        <f>_xlfn.RANK.EQ(F135,F131:F136,0)</f>
        <v>3</v>
      </c>
    </row>
    <row r="136" spans="1:8" x14ac:dyDescent="0.15">
      <c r="A136" s="162" t="s">
        <v>15</v>
      </c>
      <c r="B136" s="85">
        <f t="shared" si="44"/>
        <v>-0.20700079554494832</v>
      </c>
      <c r="C136" s="85">
        <f t="shared" ref="C136:E136" si="51">C127/D127-1</f>
        <v>-3.4163783160322954</v>
      </c>
      <c r="D136" s="85">
        <f t="shared" si="51"/>
        <v>-0.54037815868528005</v>
      </c>
      <c r="E136" s="85">
        <f t="shared" si="51"/>
        <v>-0.4574044776834939</v>
      </c>
      <c r="F136" s="85">
        <f t="shared" si="47"/>
        <v>-1.1552904369865045</v>
      </c>
      <c r="G136" s="75">
        <f>_xlfn.RANK.EQ(F136,F131:F136,0)</f>
        <v>5</v>
      </c>
    </row>
    <row r="137" spans="1:8" x14ac:dyDescent="0.15">
      <c r="A137" s="122"/>
      <c r="B137" s="122"/>
      <c r="C137" s="122"/>
      <c r="D137" s="122"/>
      <c r="E137" s="122"/>
      <c r="F137" s="123"/>
    </row>
    <row r="138" spans="1:8" ht="16" x14ac:dyDescent="0.2">
      <c r="A138" s="192" t="s">
        <v>44</v>
      </c>
      <c r="B138" s="193"/>
      <c r="C138" s="193"/>
      <c r="D138" s="193"/>
      <c r="E138" s="193"/>
      <c r="F138" s="193"/>
      <c r="G138" s="193"/>
      <c r="H138" s="154"/>
    </row>
    <row r="139" spans="1:8" x14ac:dyDescent="0.15">
      <c r="A139" s="167" t="s">
        <v>17</v>
      </c>
      <c r="B139" s="167">
        <v>2024</v>
      </c>
      <c r="C139" s="167">
        <v>2023</v>
      </c>
      <c r="D139" s="167">
        <v>2022</v>
      </c>
      <c r="E139" s="167">
        <v>2021</v>
      </c>
      <c r="F139" s="167">
        <v>2020</v>
      </c>
      <c r="G139" s="167" t="s">
        <v>8</v>
      </c>
      <c r="H139" s="167" t="s">
        <v>9</v>
      </c>
    </row>
    <row r="140" spans="1:8" x14ac:dyDescent="0.15">
      <c r="A140" s="164" t="s">
        <v>10</v>
      </c>
      <c r="B140" s="85">
        <f t="shared" ref="B140:F145" si="52">B122/B5</f>
        <v>0.28764649880174648</v>
      </c>
      <c r="C140" s="85">
        <f t="shared" si="52"/>
        <v>-6.4284125454141028E-2</v>
      </c>
      <c r="D140" s="85">
        <f t="shared" si="52"/>
        <v>-2.6826187114512894E-2</v>
      </c>
      <c r="E140" s="85">
        <f t="shared" si="52"/>
        <v>-0.83076461769115439</v>
      </c>
      <c r="F140" s="85">
        <f t="shared" si="52"/>
        <v>-0.12676314343286316</v>
      </c>
      <c r="G140" s="73">
        <f>AVERAGE(B140:F140)</f>
        <v>-0.15219831497818501</v>
      </c>
      <c r="H140" s="75">
        <f>_xlfn.RANK.EQ(G140,G140:G145,0)</f>
        <v>6</v>
      </c>
    </row>
    <row r="141" spans="1:8" x14ac:dyDescent="0.15">
      <c r="A141" s="164" t="s">
        <v>11</v>
      </c>
      <c r="B141" s="85">
        <f t="shared" si="52"/>
        <v>5.8212138840411091E-2</v>
      </c>
      <c r="C141" s="85">
        <f t="shared" si="52"/>
        <v>4.3165784832451502E-2</v>
      </c>
      <c r="D141" s="85">
        <f t="shared" si="52"/>
        <v>0.1359688148807254</v>
      </c>
      <c r="E141" s="85">
        <f t="shared" si="52"/>
        <v>0.1955093099671413</v>
      </c>
      <c r="F141" s="85">
        <f t="shared" si="52"/>
        <v>7.9586192768616199E-2</v>
      </c>
      <c r="G141" s="73">
        <f t="shared" ref="G141:G145" si="53">AVERAGE(B141:F141)</f>
        <v>0.10248844825786911</v>
      </c>
      <c r="H141" s="75">
        <f>_xlfn.RANK.EQ(G141,G140:G145,0)</f>
        <v>3</v>
      </c>
    </row>
    <row r="142" spans="1:8" x14ac:dyDescent="0.15">
      <c r="A142" s="164" t="s">
        <v>12</v>
      </c>
      <c r="B142" s="85">
        <f t="shared" si="52"/>
        <v>0.22018890200708383</v>
      </c>
      <c r="C142" s="85">
        <f t="shared" si="52"/>
        <v>0.33671133445002793</v>
      </c>
      <c r="D142" s="85">
        <f t="shared" si="52"/>
        <v>7.4479638009049776E-2</v>
      </c>
      <c r="E142" s="85">
        <f t="shared" si="52"/>
        <v>0.21390692963117441</v>
      </c>
      <c r="F142" s="85">
        <f t="shared" si="52"/>
        <v>2.3415919425438782E-2</v>
      </c>
      <c r="G142" s="73">
        <f t="shared" si="53"/>
        <v>0.17374054470455494</v>
      </c>
      <c r="H142" s="75">
        <f>_xlfn.RANK.EQ(G142,G140:G145,0)</f>
        <v>2</v>
      </c>
    </row>
    <row r="143" spans="1:8" x14ac:dyDescent="0.15">
      <c r="A143" s="164" t="s">
        <v>13</v>
      </c>
      <c r="B143" s="85">
        <f t="shared" si="52"/>
        <v>9.0341901672073871E-2</v>
      </c>
      <c r="C143" s="85">
        <f t="shared" si="52"/>
        <v>0.17754407670893907</v>
      </c>
      <c r="D143" s="85">
        <f t="shared" si="52"/>
        <v>0.22433743934303846</v>
      </c>
      <c r="E143" s="85">
        <f t="shared" si="52"/>
        <v>-5.9563448020717724E-2</v>
      </c>
      <c r="F143" s="85">
        <f t="shared" si="52"/>
        <v>0.44055254070054267</v>
      </c>
      <c r="G143" s="73">
        <f t="shared" si="53"/>
        <v>0.17464250208077528</v>
      </c>
      <c r="H143" s="75">
        <f>_xlfn.RANK.EQ(G143,G140:G145,0)</f>
        <v>1</v>
      </c>
    </row>
    <row r="144" spans="1:8" x14ac:dyDescent="0.15">
      <c r="A144" s="164" t="s">
        <v>14</v>
      </c>
      <c r="B144" s="121">
        <f t="shared" si="52"/>
        <v>8.730209729358937E-3</v>
      </c>
      <c r="C144" s="121">
        <f t="shared" si="52"/>
        <v>4.9883455526018375E-3</v>
      </c>
      <c r="D144" s="121">
        <f t="shared" si="52"/>
        <v>6.2258806184380053E-3</v>
      </c>
      <c r="E144" s="121">
        <f t="shared" si="52"/>
        <v>6.2002436628316691E-3</v>
      </c>
      <c r="F144" s="121">
        <f t="shared" si="52"/>
        <v>7.9997343553027227E-3</v>
      </c>
      <c r="G144" s="73">
        <f t="shared" si="53"/>
        <v>6.828882783706634E-3</v>
      </c>
      <c r="H144" s="75">
        <f>_xlfn.RANK.EQ(G144,G140:G145,0)</f>
        <v>5</v>
      </c>
    </row>
    <row r="145" spans="1:8" x14ac:dyDescent="0.15">
      <c r="A145" s="164" t="s">
        <v>15</v>
      </c>
      <c r="B145" s="85">
        <f t="shared" si="52"/>
        <v>-0.18771774542852301</v>
      </c>
      <c r="C145" s="85">
        <f t="shared" si="52"/>
        <v>-0.23179907059083868</v>
      </c>
      <c r="D145" s="85">
        <f t="shared" si="52"/>
        <v>8.2500713673993725E-2</v>
      </c>
      <c r="E145" s="85">
        <f t="shared" si="52"/>
        <v>0.14322231220894918</v>
      </c>
      <c r="F145" s="85">
        <f t="shared" si="52"/>
        <v>0.26787984640476709</v>
      </c>
      <c r="G145" s="73">
        <f t="shared" si="53"/>
        <v>1.4817211253669665E-2</v>
      </c>
      <c r="H145" s="75">
        <f>_xlfn.RANK.EQ(G145,G140:G145,0)</f>
        <v>4</v>
      </c>
    </row>
    <row r="148" spans="1:8" ht="16" x14ac:dyDescent="0.2">
      <c r="A148" s="192" t="s">
        <v>45</v>
      </c>
      <c r="B148" s="193"/>
      <c r="C148" s="193"/>
      <c r="D148" s="193"/>
      <c r="E148" s="193"/>
      <c r="F148" s="193"/>
      <c r="G148" s="193"/>
    </row>
    <row r="149" spans="1:8" x14ac:dyDescent="0.15">
      <c r="A149" s="167" t="s">
        <v>17</v>
      </c>
      <c r="B149" s="167" t="s">
        <v>10</v>
      </c>
      <c r="C149" s="167" t="s">
        <v>11</v>
      </c>
      <c r="D149" s="167" t="s">
        <v>46</v>
      </c>
      <c r="E149" s="167" t="s">
        <v>13</v>
      </c>
      <c r="F149" s="167" t="s">
        <v>47</v>
      </c>
      <c r="G149" s="167" t="s">
        <v>14</v>
      </c>
    </row>
    <row r="150" spans="1:8" x14ac:dyDescent="0.15">
      <c r="A150" s="162" t="s">
        <v>1</v>
      </c>
      <c r="B150" s="158">
        <v>4</v>
      </c>
      <c r="C150" s="156">
        <v>5</v>
      </c>
      <c r="D150" s="156">
        <v>3</v>
      </c>
      <c r="E150" s="156">
        <v>6</v>
      </c>
      <c r="F150" s="156">
        <v>2</v>
      </c>
      <c r="G150" s="156">
        <v>1</v>
      </c>
    </row>
    <row r="151" spans="1:8" x14ac:dyDescent="0.15">
      <c r="A151" s="162" t="s">
        <v>48</v>
      </c>
      <c r="B151" s="159">
        <v>1</v>
      </c>
      <c r="C151" s="157">
        <v>2</v>
      </c>
      <c r="D151" s="157">
        <v>3</v>
      </c>
      <c r="E151" s="157">
        <v>4</v>
      </c>
      <c r="F151" s="157">
        <v>6</v>
      </c>
      <c r="G151" s="157">
        <v>5</v>
      </c>
    </row>
    <row r="152" spans="1:8" x14ac:dyDescent="0.15">
      <c r="A152" s="162" t="s">
        <v>49</v>
      </c>
      <c r="B152" s="158">
        <v>3</v>
      </c>
      <c r="C152" s="156">
        <v>1</v>
      </c>
      <c r="D152" s="156">
        <v>4</v>
      </c>
      <c r="E152" s="156">
        <v>2</v>
      </c>
      <c r="F152" s="156">
        <v>6</v>
      </c>
      <c r="G152" s="156">
        <v>5</v>
      </c>
    </row>
    <row r="153" spans="1:8" x14ac:dyDescent="0.15">
      <c r="A153" s="162" t="s">
        <v>50</v>
      </c>
      <c r="B153" s="158">
        <v>1</v>
      </c>
      <c r="C153" s="156">
        <v>2</v>
      </c>
      <c r="D153" s="156">
        <v>5</v>
      </c>
      <c r="E153" s="156">
        <v>4</v>
      </c>
      <c r="F153" s="156">
        <v>6</v>
      </c>
      <c r="G153" s="156">
        <v>3</v>
      </c>
    </row>
    <row r="154" spans="1:8" x14ac:dyDescent="0.15">
      <c r="A154" s="162" t="s">
        <v>51</v>
      </c>
      <c r="B154" s="158">
        <v>1</v>
      </c>
      <c r="C154" s="156">
        <v>5</v>
      </c>
      <c r="D154" s="156">
        <v>3</v>
      </c>
      <c r="E154" s="156">
        <v>2</v>
      </c>
      <c r="F154" s="156">
        <v>6</v>
      </c>
      <c r="G154" s="156">
        <v>5</v>
      </c>
    </row>
    <row r="155" spans="1:8" x14ac:dyDescent="0.15">
      <c r="A155" s="162" t="s">
        <v>42</v>
      </c>
      <c r="B155" s="159">
        <v>4</v>
      </c>
      <c r="C155" s="157">
        <v>2</v>
      </c>
      <c r="D155" s="157">
        <v>1</v>
      </c>
      <c r="E155" s="157">
        <v>6</v>
      </c>
      <c r="F155" s="157">
        <v>5</v>
      </c>
      <c r="G155" s="157">
        <v>3</v>
      </c>
    </row>
    <row r="156" spans="1:8" x14ac:dyDescent="0.15">
      <c r="A156" s="163" t="s">
        <v>52</v>
      </c>
      <c r="B156" s="170">
        <v>1</v>
      </c>
      <c r="C156" s="171">
        <v>2</v>
      </c>
      <c r="D156" s="172">
        <v>3</v>
      </c>
      <c r="E156" s="89">
        <v>4</v>
      </c>
      <c r="F156" s="89">
        <v>5</v>
      </c>
      <c r="G156" s="89">
        <v>6</v>
      </c>
    </row>
    <row r="164" spans="1:8" x14ac:dyDescent="0.15">
      <c r="A164" s="82" t="s">
        <v>53</v>
      </c>
    </row>
    <row r="166" spans="1:8" ht="16" x14ac:dyDescent="0.2">
      <c r="A166" s="196" t="s">
        <v>54</v>
      </c>
      <c r="B166" s="197"/>
      <c r="C166" s="197"/>
      <c r="D166" s="197"/>
      <c r="E166" s="197"/>
      <c r="F166" s="198"/>
    </row>
    <row r="167" spans="1:8" x14ac:dyDescent="0.15">
      <c r="A167" s="81" t="s">
        <v>17</v>
      </c>
      <c r="B167" s="81">
        <v>2024</v>
      </c>
      <c r="C167" s="81">
        <v>2023</v>
      </c>
      <c r="D167" s="81">
        <v>2022</v>
      </c>
      <c r="E167" s="81">
        <v>2021</v>
      </c>
      <c r="F167" s="81">
        <v>2020</v>
      </c>
      <c r="G167" s="81" t="s">
        <v>8</v>
      </c>
      <c r="H167" s="82"/>
    </row>
    <row r="168" spans="1:8" x14ac:dyDescent="0.15">
      <c r="A168" s="83" t="s">
        <v>10</v>
      </c>
      <c r="B168" s="75">
        <v>11329</v>
      </c>
      <c r="C168" s="75">
        <v>11132</v>
      </c>
      <c r="D168" s="75">
        <v>7434</v>
      </c>
      <c r="E168" s="75">
        <v>5864</v>
      </c>
      <c r="F168" s="75">
        <v>3922</v>
      </c>
      <c r="G168" s="126">
        <f>AVERAGE(B168:F168)</f>
        <v>7936.2</v>
      </c>
      <c r="H168" s="129"/>
    </row>
    <row r="169" spans="1:8" x14ac:dyDescent="0.15">
      <c r="A169" s="83" t="s">
        <v>11</v>
      </c>
      <c r="B169" s="84">
        <v>10825</v>
      </c>
      <c r="C169" s="84">
        <v>5338</v>
      </c>
      <c r="D169" s="84">
        <v>9339</v>
      </c>
      <c r="E169" s="84">
        <v>4281</v>
      </c>
      <c r="F169" s="84">
        <v>2978</v>
      </c>
      <c r="G169" s="126">
        <f t="shared" ref="G169:G173" si="54">AVERAGE(B169:F169)</f>
        <v>6552.2</v>
      </c>
      <c r="H169" s="129"/>
    </row>
    <row r="170" spans="1:8" x14ac:dyDescent="0.15">
      <c r="A170" s="83" t="s">
        <v>12</v>
      </c>
      <c r="B170" s="119">
        <v>13358</v>
      </c>
      <c r="C170" s="119">
        <v>13110</v>
      </c>
      <c r="D170" s="119">
        <v>12526</v>
      </c>
      <c r="E170" s="119">
        <v>11097</v>
      </c>
      <c r="F170" s="119">
        <v>9442</v>
      </c>
      <c r="G170" s="126">
        <f t="shared" si="54"/>
        <v>11906.6</v>
      </c>
      <c r="H170" s="129"/>
    </row>
    <row r="171" spans="1:8" x14ac:dyDescent="0.15">
      <c r="A171" s="83" t="s">
        <v>13</v>
      </c>
      <c r="B171" s="75">
        <v>3055</v>
      </c>
      <c r="C171" s="75">
        <v>2968</v>
      </c>
      <c r="D171" s="75">
        <v>1902</v>
      </c>
      <c r="E171" s="75">
        <v>1939</v>
      </c>
      <c r="F171" s="75">
        <v>1643</v>
      </c>
      <c r="G171" s="126">
        <f t="shared" si="54"/>
        <v>2301.4</v>
      </c>
      <c r="H171" s="129"/>
    </row>
    <row r="172" spans="1:8" x14ac:dyDescent="0.15">
      <c r="A172" s="83" t="s">
        <v>14</v>
      </c>
      <c r="B172" s="152">
        <v>252.60000000000002</v>
      </c>
      <c r="C172" s="152">
        <v>226.59999999999997</v>
      </c>
      <c r="D172" s="152">
        <v>205</v>
      </c>
      <c r="E172" s="152">
        <v>148.5</v>
      </c>
      <c r="F172" s="152">
        <v>125.3</v>
      </c>
      <c r="G172" s="126">
        <f t="shared" si="54"/>
        <v>191.6</v>
      </c>
      <c r="H172" s="129"/>
    </row>
    <row r="173" spans="1:8" x14ac:dyDescent="0.15">
      <c r="A173" s="83" t="s">
        <v>15</v>
      </c>
      <c r="B173" s="84">
        <v>22053</v>
      </c>
      <c r="C173" s="84">
        <v>21680</v>
      </c>
      <c r="D173" s="84">
        <v>24530</v>
      </c>
      <c r="E173" s="84">
        <v>21733</v>
      </c>
      <c r="F173" s="84">
        <v>19736</v>
      </c>
      <c r="G173" s="126">
        <f t="shared" si="54"/>
        <v>21946.400000000001</v>
      </c>
      <c r="H173" s="129"/>
    </row>
    <row r="175" spans="1:8" ht="16" x14ac:dyDescent="0.2">
      <c r="A175" s="201" t="s">
        <v>55</v>
      </c>
      <c r="B175" s="201"/>
      <c r="C175" s="201"/>
      <c r="D175" s="201"/>
      <c r="E175" s="201"/>
      <c r="F175" s="201"/>
      <c r="G175" s="201"/>
      <c r="H175" s="128"/>
    </row>
    <row r="176" spans="1:8" x14ac:dyDescent="0.15">
      <c r="A176" s="81" t="s">
        <v>17</v>
      </c>
      <c r="B176" s="81">
        <v>2024</v>
      </c>
      <c r="C176" s="81">
        <v>2023</v>
      </c>
      <c r="D176" s="81">
        <v>2022</v>
      </c>
      <c r="E176" s="81">
        <v>2021</v>
      </c>
      <c r="F176" s="81">
        <v>2020</v>
      </c>
      <c r="G176" s="86" t="s">
        <v>8</v>
      </c>
      <c r="H176" s="127"/>
    </row>
    <row r="177" spans="1:8" x14ac:dyDescent="0.15">
      <c r="A177" s="83" t="s">
        <v>10</v>
      </c>
      <c r="B177" s="85">
        <f>NVIDIA!B44/NVIDIA!B47</f>
        <v>0.76573395710124459</v>
      </c>
      <c r="C177" s="85">
        <f>NVIDIA!C44/NVIDIA!C47</f>
        <v>0.65927057132590727</v>
      </c>
      <c r="D177" s="85">
        <f>NVIDIA!D44/NVIDIA!D47</f>
        <v>0.70863599677158995</v>
      </c>
      <c r="E177" s="85">
        <f>NVIDIA!E44/NVIDIA!E47</f>
        <v>0.66916780354706684</v>
      </c>
      <c r="F177" s="85">
        <f>NVIDIA!F44/NVIDIA!F47</f>
        <v>0.72131565527791941</v>
      </c>
      <c r="G177" s="85">
        <f>AVERAGE(B177:F177)</f>
        <v>0.70482479680474552</v>
      </c>
      <c r="H177" s="130"/>
    </row>
    <row r="178" spans="1:8" x14ac:dyDescent="0.15">
      <c r="A178" s="83" t="s">
        <v>11</v>
      </c>
      <c r="B178" s="87">
        <f>AMD!B36/AMD!B41</f>
        <v>0.5963972286374134</v>
      </c>
      <c r="C178" s="87">
        <f>AMD!C36/AMD!C41</f>
        <v>0.5837558405408092</v>
      </c>
      <c r="D178" s="87">
        <f>AMD!D36/AMD!D41</f>
        <v>0.53592461719670204</v>
      </c>
      <c r="E178" s="87">
        <f>AMD!E36/AMD!E41</f>
        <v>0.66456435412286852</v>
      </c>
      <c r="F178" s="87">
        <f>AMD!F36/AMD!F41</f>
        <v>0.66588314304902618</v>
      </c>
      <c r="G178" s="85">
        <f t="shared" ref="G178:G182" si="55">AVERAGE(B178:F178)</f>
        <v>0.60930503670936387</v>
      </c>
      <c r="H178" s="130"/>
    </row>
    <row r="179" spans="1:8" x14ac:dyDescent="0.15">
      <c r="A179" s="83" t="s">
        <v>12</v>
      </c>
      <c r="B179" s="85">
        <f>Qualcomm!B31/Qualcomm!B34</f>
        <v>0.66574337475670009</v>
      </c>
      <c r="C179" s="85">
        <f>Qualcomm!C31/Qualcomm!C34</f>
        <v>0.67261632341723876</v>
      </c>
      <c r="D179" s="85">
        <f>Qualcomm!D31/Qualcomm!D34</f>
        <v>0.65415934855500557</v>
      </c>
      <c r="E179" s="85">
        <f>Qualcomm!E31/Qualcomm!E34</f>
        <v>0.64666125979994593</v>
      </c>
      <c r="F179" s="85">
        <f>Qualcomm!F31/Qualcomm!F34</f>
        <v>0.6328108451599237</v>
      </c>
      <c r="G179" s="85">
        <f t="shared" si="55"/>
        <v>0.6543982303377629</v>
      </c>
      <c r="H179" s="130"/>
    </row>
    <row r="180" spans="1:8" x14ac:dyDescent="0.15">
      <c r="A180" s="83" t="s">
        <v>13</v>
      </c>
      <c r="B180" s="85">
        <f>ARM!B32/ARM!B36</f>
        <v>0.6779050736497545</v>
      </c>
      <c r="C180" s="85">
        <f>ARM!C32/ARM!C36</f>
        <v>0.6667789757412399</v>
      </c>
      <c r="D180" s="85">
        <f>ARM!D32/ARM!D36</f>
        <v>0.59568874868559407</v>
      </c>
      <c r="E180" s="85">
        <f>ARM!E32/ARM!E36</f>
        <v>0.51315110881897885</v>
      </c>
      <c r="F180" s="85">
        <f>ARM!F32/ARM!F36</f>
        <v>0.49543517954960437</v>
      </c>
      <c r="G180" s="85">
        <f>AVERAGE(B180:F180)</f>
        <v>0.58979181728903429</v>
      </c>
      <c r="H180" s="130"/>
    </row>
    <row r="181" spans="1:8" x14ac:dyDescent="0.15">
      <c r="A181" s="83" t="s">
        <v>14</v>
      </c>
      <c r="B181" s="88">
        <f>TSMC!B28/TSMC!B31</f>
        <v>0.78741092636579568</v>
      </c>
      <c r="C181" s="88">
        <f>TSMC!C28/TSMC!C31</f>
        <v>0.79258605472197718</v>
      </c>
      <c r="D181" s="88">
        <f>TSMC!D28/TSMC!D31</f>
        <v>0.79951219512195126</v>
      </c>
      <c r="E181" s="88">
        <f>TSMC!E28/TSMC!E31</f>
        <v>0.77777777777777779</v>
      </c>
      <c r="F181" s="88">
        <f>TSMC!F28/TSMC!F31</f>
        <v>0.77494014365522745</v>
      </c>
      <c r="G181" s="85">
        <f t="shared" si="55"/>
        <v>0.78644541952854574</v>
      </c>
      <c r="H181" s="130"/>
    </row>
    <row r="182" spans="1:8" x14ac:dyDescent="0.15">
      <c r="A182" s="83" t="s">
        <v>15</v>
      </c>
      <c r="B182" s="87">
        <f>Intel!B32/Intel!B9</f>
        <v>0.7502834081530857</v>
      </c>
      <c r="C182" s="87">
        <f>Intel!C32/Intel!C9</f>
        <v>0.74012915129151291</v>
      </c>
      <c r="D182" s="87">
        <f>Intel!D32/Intel!D9</f>
        <v>0.71455360782715038</v>
      </c>
      <c r="E182" s="87">
        <f>Intel!E32/Intel!E9</f>
        <v>0.69893710026227396</v>
      </c>
      <c r="F182" s="87">
        <f>Intel!F32/Intel!F9</f>
        <v>0.68686663964329142</v>
      </c>
      <c r="G182" s="85">
        <f t="shared" si="55"/>
        <v>0.71815398143546294</v>
      </c>
      <c r="H182" s="130"/>
    </row>
    <row r="184" spans="1:8" ht="16" x14ac:dyDescent="0.2">
      <c r="A184" s="196" t="s">
        <v>56</v>
      </c>
      <c r="B184" s="197"/>
      <c r="C184" s="197"/>
      <c r="D184" s="197"/>
      <c r="E184" s="197"/>
      <c r="F184" s="199"/>
    </row>
    <row r="185" spans="1:8" x14ac:dyDescent="0.15">
      <c r="A185" s="81" t="s">
        <v>17</v>
      </c>
      <c r="B185" s="81">
        <v>2024</v>
      </c>
      <c r="C185" s="81">
        <v>2023</v>
      </c>
      <c r="D185" s="81">
        <v>2022</v>
      </c>
      <c r="E185" s="81">
        <v>2021</v>
      </c>
      <c r="F185" s="81">
        <v>2020</v>
      </c>
      <c r="G185" s="86" t="s">
        <v>8</v>
      </c>
      <c r="H185" s="127"/>
    </row>
    <row r="186" spans="1:8" x14ac:dyDescent="0.15">
      <c r="A186" s="83" t="s">
        <v>10</v>
      </c>
      <c r="B186" s="73">
        <f>(NVIDIA!B14-NVIDIA!C14)/NVIDIA!B14</f>
        <v>0.85322580645161294</v>
      </c>
      <c r="C186" s="73">
        <f>(NVIDIA!C14-NVIDIA!D14)/NVIDIA!C14</f>
        <v>-1.2326007326007327</v>
      </c>
      <c r="D186" s="73">
        <f>(NVIDIA!D14-NVIDIA!E14)/NVIDIA!D14</f>
        <v>0.55578342904019684</v>
      </c>
      <c r="E186" s="73">
        <f>(NVIDIA!E14-NVIDIA!F14)/NVIDIA!E14</f>
        <v>0.35457063711911357</v>
      </c>
      <c r="F186" s="73">
        <f>(NVIDIA!F14-NVIDIA!G14)/NVIDIA!F14</f>
        <v>1</v>
      </c>
      <c r="G186" s="85">
        <f>AVERAGE(B186:F186)</f>
        <v>0.30619582800203815</v>
      </c>
      <c r="H186" s="130"/>
    </row>
    <row r="187" spans="1:8" x14ac:dyDescent="0.15">
      <c r="A187" s="83" t="s">
        <v>11</v>
      </c>
      <c r="B187" s="87">
        <f>(AMD!B13-AMD!C13)/AMD!C13</f>
        <v>0.92154566744730682</v>
      </c>
      <c r="C187" s="87">
        <f>(AMD!C13-AMD!D13)/AMD!D13</f>
        <v>-0.35303030303030303</v>
      </c>
      <c r="D187" s="87">
        <f>(AMD!D13-AMD!E13)/AMD!E13</f>
        <v>-0.58254269449715368</v>
      </c>
      <c r="E187" s="87">
        <f>(AMD!E13-AMD!F13)/AMD!F13</f>
        <v>0.26987951807228916</v>
      </c>
      <c r="F187" s="87"/>
      <c r="G187" s="85">
        <f t="shared" ref="G187:G191" si="56">AVERAGE(B187:F187)</f>
        <v>6.3963046998034817E-2</v>
      </c>
      <c r="H187" s="130"/>
    </row>
    <row r="188" spans="1:8" x14ac:dyDescent="0.15">
      <c r="A188" s="83" t="s">
        <v>12</v>
      </c>
      <c r="B188" s="85">
        <f>(Qualcomm!B13-Qualcomm!C13)/Qualcomm!C13</f>
        <v>0.4023783185840708</v>
      </c>
      <c r="C188" s="85">
        <f>(Qualcomm!C13-Qualcomm!D13)/Qualcomm!D13</f>
        <v>-0.44094001236858382</v>
      </c>
      <c r="D188" s="85">
        <f>(Qualcomm!D13-Qualcomm!E13)/Qualcomm!E13</f>
        <v>0.43049872829813113</v>
      </c>
      <c r="E188" s="85">
        <f>(Qualcomm!E13-Qualcomm!F13)/Qualcomm!F13</f>
        <v>0.73970757983839941</v>
      </c>
      <c r="F188" s="85"/>
      <c r="G188" s="85">
        <f t="shared" si="56"/>
        <v>0.28291115358800439</v>
      </c>
      <c r="H188" s="130"/>
    </row>
    <row r="189" spans="1:8" x14ac:dyDescent="0.15">
      <c r="A189" s="83" t="s">
        <v>13</v>
      </c>
      <c r="B189" s="85">
        <f>(ARM!B8-ARM!C8)/ARM!C8</f>
        <v>1.588235294117647</v>
      </c>
      <c r="C189" s="85">
        <f>(ARM!C8-ARM!D8)/ARM!D8</f>
        <v>-0.41603053435114506</v>
      </c>
      <c r="D189" s="85">
        <f>(ARM!D8-ARM!E8)/ARM!E8</f>
        <v>-0.22485207100591717</v>
      </c>
      <c r="E189" s="85">
        <f>(ARM!E8-ARM!F8)/ARM!F8</f>
        <v>0.24264705882352941</v>
      </c>
      <c r="F189" s="85"/>
      <c r="G189" s="85">
        <f>AVERAGE(B189:F189)</f>
        <v>0.29749993689602855</v>
      </c>
      <c r="H189" s="130"/>
    </row>
    <row r="190" spans="1:8" x14ac:dyDescent="0.15">
      <c r="A190" s="83" t="s">
        <v>14</v>
      </c>
      <c r="B190" s="88">
        <f>(TSMC!B10-TSMC!C10)/TSMC!C10</f>
        <v>0.23151515151515151</v>
      </c>
      <c r="C190" s="88">
        <f>(TSMC!C10-TSMC!D10)/TSMC!D10</f>
        <v>-0.18799212598425197</v>
      </c>
      <c r="D190" s="88">
        <f>(TSMC!D10-TSMC!E10)/TSMC!E10</f>
        <v>0.7018425460636516</v>
      </c>
      <c r="E190" s="88">
        <f>(TSMC!E10-TSMC!F10)/TSMC!F10</f>
        <v>0.15473887814313347</v>
      </c>
      <c r="F190" s="88"/>
      <c r="G190" s="85">
        <f t="shared" si="56"/>
        <v>0.22502611243442114</v>
      </c>
      <c r="H190" s="130"/>
    </row>
    <row r="191" spans="1:8" x14ac:dyDescent="0.15">
      <c r="A191" s="83" t="s">
        <v>15</v>
      </c>
      <c r="B191" s="87">
        <f>(Intel!B15-Intel!C15)/Intel!C15</f>
        <v>-12.117647058823529</v>
      </c>
      <c r="C191" s="87">
        <f>(Intel!C15-Intel!D15)/Intel!D15</f>
        <v>-0.79012345679012341</v>
      </c>
      <c r="D191" s="87">
        <f>(Intel!D15-Intel!E15)/Intel!E15</f>
        <v>-0.59398496240601506</v>
      </c>
      <c r="E191" s="87">
        <f>(Intel!E15-Intel!F15)/Intel!F15</f>
        <v>-0.05</v>
      </c>
      <c r="F191" s="87"/>
      <c r="G191" s="85">
        <f t="shared" si="56"/>
        <v>-3.3879388695049171</v>
      </c>
      <c r="H191" s="130"/>
    </row>
    <row r="194" spans="8:8" x14ac:dyDescent="0.15">
      <c r="H194" s="127"/>
    </row>
    <row r="195" spans="8:8" x14ac:dyDescent="0.15">
      <c r="H195" s="130"/>
    </row>
    <row r="196" spans="8:8" x14ac:dyDescent="0.15">
      <c r="H196" s="130"/>
    </row>
    <row r="197" spans="8:8" x14ac:dyDescent="0.15">
      <c r="H197" s="130"/>
    </row>
    <row r="198" spans="8:8" x14ac:dyDescent="0.15">
      <c r="H198" s="130"/>
    </row>
    <row r="199" spans="8:8" x14ac:dyDescent="0.15">
      <c r="H199" s="130"/>
    </row>
    <row r="200" spans="8:8" x14ac:dyDescent="0.15">
      <c r="H200" s="130"/>
    </row>
  </sheetData>
  <autoFilter ref="A13:G19" xr:uid="{08800A7F-6877-4EF9-8001-404AF4D1AEE9}"/>
  <mergeCells count="33">
    <mergeCell ref="J94:O94"/>
    <mergeCell ref="P94:T94"/>
    <mergeCell ref="A66:H66"/>
    <mergeCell ref="A111:F111"/>
    <mergeCell ref="J75:O75"/>
    <mergeCell ref="J76:O76"/>
    <mergeCell ref="J82:O82"/>
    <mergeCell ref="A84:H84"/>
    <mergeCell ref="P75:T75"/>
    <mergeCell ref="P76:T76"/>
    <mergeCell ref="A48:F48"/>
    <mergeCell ref="A57:G57"/>
    <mergeCell ref="P82:T82"/>
    <mergeCell ref="J88:O88"/>
    <mergeCell ref="P88:T88"/>
    <mergeCell ref="A1:I1"/>
    <mergeCell ref="A3:G3"/>
    <mergeCell ref="A30:G30"/>
    <mergeCell ref="A39:G39"/>
    <mergeCell ref="A12:G12"/>
    <mergeCell ref="A21:G21"/>
    <mergeCell ref="A184:F184"/>
    <mergeCell ref="A75:F75"/>
    <mergeCell ref="A129:F129"/>
    <mergeCell ref="A93:F93"/>
    <mergeCell ref="A175:G175"/>
    <mergeCell ref="A148:G148"/>
    <mergeCell ref="A138:G138"/>
    <mergeCell ref="P100:T100"/>
    <mergeCell ref="A120:F120"/>
    <mergeCell ref="A102:F102"/>
    <mergeCell ref="J100:O100"/>
    <mergeCell ref="A166:F166"/>
  </mergeCells>
  <pageMargins left="0.7" right="0.7" top="0.75" bottom="0.75" header="0.3" footer="0.3"/>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24BA-E08E-44D4-A8B1-C75C82282836}">
  <dimension ref="A1:AP92"/>
  <sheetViews>
    <sheetView tabSelected="1" topLeftCell="M1" zoomScale="68" zoomScaleNormal="68" workbookViewId="0">
      <selection activeCell="AQ8" sqref="AQ8"/>
    </sheetView>
  </sheetViews>
  <sheetFormatPr baseColWidth="10" defaultColWidth="9.1640625" defaultRowHeight="15" customHeight="1" x14ac:dyDescent="0.2"/>
  <cols>
    <col min="1" max="1" width="54.5" style="16" customWidth="1"/>
    <col min="2" max="2" width="13.6640625" style="15" bestFit="1" customWidth="1"/>
    <col min="3" max="3" width="13.83203125" style="15" customWidth="1"/>
    <col min="4" max="4" width="13.33203125" style="15" bestFit="1" customWidth="1"/>
    <col min="5" max="5" width="12.83203125" style="15" bestFit="1" customWidth="1"/>
    <col min="6" max="6" width="13.6640625" style="15" bestFit="1" customWidth="1"/>
    <col min="7" max="16384" width="9.1640625" style="16"/>
  </cols>
  <sheetData>
    <row r="1" spans="1:42" ht="57" customHeight="1" thickBot="1" x14ac:dyDescent="0.25">
      <c r="A1" s="291" t="s">
        <v>10</v>
      </c>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3"/>
      <c r="AP1" s="16" t="s">
        <v>332</v>
      </c>
    </row>
    <row r="3" spans="1:42" s="62" customFormat="1" x14ac:dyDescent="0.2">
      <c r="A3" s="222" t="s">
        <v>57</v>
      </c>
      <c r="B3" s="223"/>
      <c r="C3" s="223"/>
      <c r="D3" s="223"/>
      <c r="E3" s="223"/>
      <c r="F3" s="224"/>
    </row>
    <row r="4" spans="1:42" s="63" customFormat="1" ht="17" customHeight="1" thickBot="1" x14ac:dyDescent="0.3">
      <c r="A4" s="99" t="s">
        <v>58</v>
      </c>
      <c r="B4" s="99" t="s">
        <v>59</v>
      </c>
      <c r="C4" s="99" t="s">
        <v>60</v>
      </c>
      <c r="D4" s="99" t="s">
        <v>61</v>
      </c>
      <c r="E4" s="99" t="s">
        <v>62</v>
      </c>
      <c r="F4" s="99" t="s">
        <v>63</v>
      </c>
      <c r="H4" s="64"/>
    </row>
    <row r="5" spans="1:42" s="63" customFormat="1" ht="21" thickTop="1" thickBot="1" x14ac:dyDescent="0.3">
      <c r="A5" s="65" t="s">
        <v>64</v>
      </c>
      <c r="B5" s="66">
        <v>2024</v>
      </c>
      <c r="C5" s="66">
        <v>2023</v>
      </c>
      <c r="D5" s="66">
        <v>2022</v>
      </c>
      <c r="E5" s="66">
        <v>2021</v>
      </c>
      <c r="F5" s="66">
        <v>2020</v>
      </c>
      <c r="H5" s="64"/>
    </row>
    <row r="6" spans="1:42" ht="17" thickTop="1" thickBot="1" x14ac:dyDescent="0.25">
      <c r="A6" s="61" t="s">
        <v>1</v>
      </c>
      <c r="B6" s="90">
        <v>60922</v>
      </c>
      <c r="C6" s="90">
        <v>26974</v>
      </c>
      <c r="D6" s="90">
        <v>26914</v>
      </c>
      <c r="E6" s="90">
        <v>16675</v>
      </c>
      <c r="F6" s="90">
        <v>10918</v>
      </c>
    </row>
    <row r="7" spans="1:42" ht="17" thickTop="1" thickBot="1" x14ac:dyDescent="0.25">
      <c r="A7" s="13" t="s">
        <v>65</v>
      </c>
      <c r="B7" s="91">
        <v>16621</v>
      </c>
      <c r="C7" s="91">
        <v>11618</v>
      </c>
      <c r="D7" s="91">
        <v>9439</v>
      </c>
      <c r="E7" s="91">
        <v>6279</v>
      </c>
      <c r="F7" s="91">
        <v>4150</v>
      </c>
    </row>
    <row r="8" spans="1:42" x14ac:dyDescent="0.2">
      <c r="A8" s="13" t="s">
        <v>66</v>
      </c>
      <c r="B8" s="91">
        <f>B6-B7</f>
        <v>44301</v>
      </c>
      <c r="C8" s="91">
        <f>C6-C7</f>
        <v>15356</v>
      </c>
      <c r="D8" s="91">
        <f t="shared" ref="D8:F8" si="0">D6-D7</f>
        <v>17475</v>
      </c>
      <c r="E8" s="91">
        <f t="shared" si="0"/>
        <v>10396</v>
      </c>
      <c r="F8" s="91">
        <f t="shared" si="0"/>
        <v>6768</v>
      </c>
    </row>
    <row r="9" spans="1:42" x14ac:dyDescent="0.2">
      <c r="A9" s="13" t="s">
        <v>54</v>
      </c>
      <c r="B9" s="91">
        <f>B47</f>
        <v>11329</v>
      </c>
      <c r="C9" s="91">
        <f t="shared" ref="C9:F9" si="1">C47</f>
        <v>11132</v>
      </c>
      <c r="D9" s="91">
        <f t="shared" si="1"/>
        <v>7434</v>
      </c>
      <c r="E9" s="91">
        <f t="shared" si="1"/>
        <v>5864</v>
      </c>
      <c r="F9" s="91">
        <f t="shared" si="1"/>
        <v>3922</v>
      </c>
    </row>
    <row r="10" spans="1:42" x14ac:dyDescent="0.2">
      <c r="A10" s="13" t="s">
        <v>67</v>
      </c>
      <c r="B10" s="91">
        <f>B8-B9</f>
        <v>32972</v>
      </c>
      <c r="C10" s="91">
        <f t="shared" ref="C10:F10" si="2">C8-C9</f>
        <v>4224</v>
      </c>
      <c r="D10" s="91">
        <f t="shared" si="2"/>
        <v>10041</v>
      </c>
      <c r="E10" s="91">
        <f t="shared" si="2"/>
        <v>4532</v>
      </c>
      <c r="F10" s="91">
        <f t="shared" si="2"/>
        <v>2846</v>
      </c>
    </row>
    <row r="11" spans="1:42" ht="17" thickTop="1" thickBot="1" x14ac:dyDescent="0.25">
      <c r="A11" s="19" t="s">
        <v>68</v>
      </c>
      <c r="B11" s="25">
        <f>B10/B6</f>
        <v>0.54121663766783756</v>
      </c>
      <c r="C11" s="25">
        <f t="shared" ref="C11:E11" si="3">C10/C6</f>
        <v>0.1565952398606065</v>
      </c>
      <c r="D11" s="25">
        <f t="shared" si="3"/>
        <v>0.37307720888756779</v>
      </c>
      <c r="E11" s="25">
        <f t="shared" si="3"/>
        <v>0.27178410794602698</v>
      </c>
      <c r="F11" s="25">
        <f>F10/F6</f>
        <v>0.2606704524638212</v>
      </c>
    </row>
    <row r="12" spans="1:42" ht="17" thickTop="1" thickBot="1" x14ac:dyDescent="0.25">
      <c r="A12" s="13" t="s">
        <v>69</v>
      </c>
      <c r="B12" s="91">
        <v>33818</v>
      </c>
      <c r="C12" s="91">
        <v>4181</v>
      </c>
      <c r="D12" s="91">
        <v>9941</v>
      </c>
      <c r="E12" s="91">
        <v>4409</v>
      </c>
      <c r="F12" s="91">
        <v>2970</v>
      </c>
    </row>
    <row r="13" spans="1:42" x14ac:dyDescent="0.2">
      <c r="A13" s="13" t="s">
        <v>70</v>
      </c>
      <c r="B13" s="91">
        <v>4058</v>
      </c>
      <c r="C13" s="91">
        <v>-187</v>
      </c>
      <c r="D13" s="91">
        <v>189</v>
      </c>
      <c r="E13" s="91">
        <v>77</v>
      </c>
      <c r="F13" s="91">
        <v>174</v>
      </c>
    </row>
    <row r="14" spans="1:42" x14ac:dyDescent="0.2">
      <c r="A14" s="14" t="s">
        <v>71</v>
      </c>
      <c r="B14" s="92">
        <v>29760</v>
      </c>
      <c r="C14" s="92">
        <v>4368</v>
      </c>
      <c r="D14" s="92">
        <v>9752</v>
      </c>
      <c r="E14" s="92">
        <v>4332</v>
      </c>
      <c r="F14" s="92">
        <v>2796</v>
      </c>
    </row>
    <row r="16" spans="1:42" ht="15" customHeight="1" x14ac:dyDescent="0.2"/>
    <row r="17" spans="1:6" ht="16" thickBot="1" x14ac:dyDescent="0.25">
      <c r="A17" s="221" t="s">
        <v>72</v>
      </c>
      <c r="B17" s="221"/>
      <c r="C17" s="221"/>
      <c r="D17" s="221"/>
      <c r="E17" s="221"/>
      <c r="F17" s="221"/>
    </row>
    <row r="18" spans="1:6" s="17" customFormat="1" ht="18" thickTop="1" thickBot="1" x14ac:dyDescent="0.25">
      <c r="A18" s="18" t="s">
        <v>73</v>
      </c>
      <c r="B18" s="66">
        <v>2024</v>
      </c>
      <c r="C18" s="66">
        <v>2023</v>
      </c>
      <c r="D18" s="66">
        <v>2022</v>
      </c>
      <c r="E18" s="66">
        <v>2021</v>
      </c>
      <c r="F18" s="66">
        <v>2020</v>
      </c>
    </row>
    <row r="19" spans="1:6" ht="17" thickTop="1" thickBot="1" x14ac:dyDescent="0.25">
      <c r="A19" s="19" t="s">
        <v>74</v>
      </c>
      <c r="B19" s="91">
        <v>7280</v>
      </c>
      <c r="C19" s="91">
        <v>3389</v>
      </c>
      <c r="D19" s="91">
        <v>1990</v>
      </c>
      <c r="E19" s="91">
        <v>847</v>
      </c>
      <c r="F19" s="91">
        <v>10896</v>
      </c>
    </row>
    <row r="20" spans="1:6" x14ac:dyDescent="0.2">
      <c r="A20" s="19" t="s">
        <v>75</v>
      </c>
      <c r="B20" s="91">
        <v>44345</v>
      </c>
      <c r="C20" s="91">
        <v>23073</v>
      </c>
      <c r="D20" s="91">
        <v>28829</v>
      </c>
      <c r="E20" s="91">
        <v>16055</v>
      </c>
      <c r="F20" s="91">
        <v>13690</v>
      </c>
    </row>
    <row r="21" spans="1:6" x14ac:dyDescent="0.2">
      <c r="A21" s="19" t="s">
        <v>76</v>
      </c>
      <c r="B21" s="91">
        <v>65728</v>
      </c>
      <c r="C21" s="91">
        <v>41182</v>
      </c>
      <c r="D21" s="91">
        <v>44187</v>
      </c>
      <c r="E21" s="91">
        <v>28791</v>
      </c>
      <c r="F21" s="91">
        <v>17315</v>
      </c>
    </row>
    <row r="22" spans="1:6" x14ac:dyDescent="0.2">
      <c r="A22" s="19" t="s">
        <v>77</v>
      </c>
      <c r="B22" s="91">
        <v>10631</v>
      </c>
      <c r="C22" s="91">
        <v>6563</v>
      </c>
      <c r="D22" s="91">
        <v>3925</v>
      </c>
      <c r="E22" s="91">
        <v>3925</v>
      </c>
      <c r="F22" s="91">
        <v>1784</v>
      </c>
    </row>
    <row r="23" spans="1:6" x14ac:dyDescent="0.2">
      <c r="A23" s="19" t="s">
        <v>78</v>
      </c>
      <c r="B23" s="91">
        <v>8459</v>
      </c>
      <c r="C23" s="91">
        <v>9703</v>
      </c>
      <c r="D23" s="91">
        <v>10946</v>
      </c>
      <c r="E23" s="91">
        <v>5964</v>
      </c>
      <c r="F23" s="91">
        <v>1991</v>
      </c>
    </row>
    <row r="24" spans="1:6" x14ac:dyDescent="0.2">
      <c r="A24" s="19" t="s">
        <v>79</v>
      </c>
      <c r="B24" s="91">
        <v>22750</v>
      </c>
      <c r="C24" s="91">
        <v>19081</v>
      </c>
      <c r="D24" s="91">
        <v>17575</v>
      </c>
      <c r="E24" s="91">
        <v>11898</v>
      </c>
      <c r="F24" s="91">
        <v>5111</v>
      </c>
    </row>
    <row r="25" spans="1:6" x14ac:dyDescent="0.2">
      <c r="A25" s="19" t="s">
        <v>80</v>
      </c>
      <c r="B25" s="91">
        <v>42978</v>
      </c>
      <c r="C25" s="91">
        <v>22101</v>
      </c>
      <c r="D25" s="91">
        <v>26612</v>
      </c>
      <c r="E25" s="91">
        <v>16893</v>
      </c>
      <c r="F25" s="91">
        <v>12204</v>
      </c>
    </row>
    <row r="28" spans="1:6" ht="16" thickBot="1" x14ac:dyDescent="0.25">
      <c r="A28" s="220" t="s">
        <v>81</v>
      </c>
      <c r="B28" s="220"/>
      <c r="C28" s="220"/>
      <c r="D28" s="220"/>
      <c r="E28" s="220"/>
      <c r="F28" s="220"/>
    </row>
    <row r="29" spans="1:6" ht="17" thickTop="1" thickBot="1" x14ac:dyDescent="0.25">
      <c r="A29" s="20" t="s">
        <v>82</v>
      </c>
      <c r="B29" s="66">
        <v>2024</v>
      </c>
      <c r="C29" s="66">
        <v>2023</v>
      </c>
      <c r="D29" s="66">
        <v>2022</v>
      </c>
      <c r="E29" s="66">
        <v>2021</v>
      </c>
      <c r="F29" s="66">
        <v>2020</v>
      </c>
    </row>
    <row r="30" spans="1:6" ht="17" thickTop="1" thickBot="1" x14ac:dyDescent="0.25">
      <c r="A30" s="20" t="s">
        <v>83</v>
      </c>
      <c r="B30" s="93">
        <v>-13633</v>
      </c>
      <c r="C30" s="93">
        <v>-11617</v>
      </c>
      <c r="D30" s="93">
        <v>1865</v>
      </c>
      <c r="E30" s="93">
        <v>3804</v>
      </c>
      <c r="F30" s="93">
        <v>-792</v>
      </c>
    </row>
    <row r="31" spans="1:6" ht="17" thickTop="1" thickBot="1" x14ac:dyDescent="0.25">
      <c r="A31" s="19" t="s">
        <v>84</v>
      </c>
      <c r="B31" s="91">
        <v>28090</v>
      </c>
      <c r="C31" s="91">
        <v>5641</v>
      </c>
      <c r="D31" s="91">
        <v>9108</v>
      </c>
      <c r="E31" s="91">
        <v>5822</v>
      </c>
      <c r="F31" s="91">
        <v>4761</v>
      </c>
    </row>
    <row r="32" spans="1:6" ht="17" thickTop="1" thickBot="1" x14ac:dyDescent="0.25">
      <c r="A32" s="19" t="s">
        <v>85</v>
      </c>
      <c r="B32" s="91">
        <v>-10566</v>
      </c>
      <c r="C32" s="91">
        <v>7375</v>
      </c>
      <c r="D32" s="91">
        <v>-9830</v>
      </c>
      <c r="E32" s="91">
        <v>-19675</v>
      </c>
      <c r="F32" s="91">
        <v>6145</v>
      </c>
    </row>
    <row r="33" spans="1:6" x14ac:dyDescent="0.2">
      <c r="A33" s="51" t="s">
        <v>86</v>
      </c>
      <c r="B33" s="94">
        <f>B31-ABS(B32)</f>
        <v>17524</v>
      </c>
      <c r="C33" s="94">
        <f t="shared" ref="C33:F33" si="4">C31-ABS(C32)</f>
        <v>-1734</v>
      </c>
      <c r="D33" s="94">
        <f t="shared" si="4"/>
        <v>-722</v>
      </c>
      <c r="E33" s="94">
        <f t="shared" si="4"/>
        <v>-13853</v>
      </c>
      <c r="F33" s="94">
        <f t="shared" si="4"/>
        <v>-1384</v>
      </c>
    </row>
    <row r="34" spans="1:6" x14ac:dyDescent="0.2"/>
    <row r="35" spans="1:6" x14ac:dyDescent="0.2"/>
    <row r="36" spans="1:6" x14ac:dyDescent="0.2">
      <c r="A36" s="225" t="s">
        <v>87</v>
      </c>
      <c r="B36" s="226"/>
      <c r="C36" s="226"/>
      <c r="D36" s="226"/>
      <c r="E36" s="226"/>
      <c r="F36" s="227"/>
    </row>
    <row r="37" spans="1:6" ht="16" thickBot="1" x14ac:dyDescent="0.25">
      <c r="A37" s="21" t="s">
        <v>88</v>
      </c>
      <c r="B37" s="66">
        <v>2024</v>
      </c>
      <c r="C37" s="66">
        <v>2023</v>
      </c>
      <c r="D37" s="66">
        <v>2022</v>
      </c>
      <c r="E37" s="66">
        <v>2021</v>
      </c>
      <c r="F37" s="66">
        <v>2020</v>
      </c>
    </row>
    <row r="38" spans="1:6" ht="16" thickTop="1" x14ac:dyDescent="0.2">
      <c r="A38" s="22" t="s">
        <v>89</v>
      </c>
      <c r="B38" s="95">
        <v>-1069</v>
      </c>
      <c r="C38" s="95">
        <v>-1833</v>
      </c>
      <c r="D38" s="95">
        <v>-976</v>
      </c>
      <c r="E38" s="95">
        <v>-1128</v>
      </c>
      <c r="F38" s="95">
        <v>-489</v>
      </c>
    </row>
    <row r="39" spans="1:6" x14ac:dyDescent="0.2">
      <c r="A39" s="22" t="s">
        <v>90</v>
      </c>
      <c r="B39" s="95">
        <v>-83</v>
      </c>
      <c r="C39" s="95">
        <v>-49</v>
      </c>
      <c r="D39" s="95">
        <v>-263</v>
      </c>
      <c r="E39" s="95">
        <v>-8524</v>
      </c>
      <c r="F39" s="95">
        <v>-4</v>
      </c>
    </row>
    <row r="42" spans="1:6" x14ac:dyDescent="0.2">
      <c r="A42" s="226" t="s">
        <v>91</v>
      </c>
      <c r="B42" s="226"/>
      <c r="C42" s="226"/>
      <c r="D42" s="226"/>
      <c r="E42" s="226"/>
      <c r="F42" s="226"/>
    </row>
    <row r="43" spans="1:6" ht="16" thickBot="1" x14ac:dyDescent="0.25">
      <c r="A43" s="24" t="s">
        <v>92</v>
      </c>
      <c r="B43" s="66">
        <v>2024</v>
      </c>
      <c r="C43" s="66">
        <v>2023</v>
      </c>
      <c r="D43" s="66">
        <v>2022</v>
      </c>
      <c r="E43" s="66">
        <v>2021</v>
      </c>
      <c r="F43" s="66">
        <v>2020</v>
      </c>
    </row>
    <row r="44" spans="1:6" ht="16" thickTop="1" x14ac:dyDescent="0.2">
      <c r="A44" s="23" t="s">
        <v>93</v>
      </c>
      <c r="B44" s="95">
        <v>8675</v>
      </c>
      <c r="C44" s="95">
        <v>7339</v>
      </c>
      <c r="D44" s="95">
        <v>5268</v>
      </c>
      <c r="E44" s="95">
        <v>3924</v>
      </c>
      <c r="F44" s="95">
        <v>2829</v>
      </c>
    </row>
    <row r="45" spans="1:6" x14ac:dyDescent="0.2">
      <c r="A45" s="23" t="s">
        <v>94</v>
      </c>
      <c r="B45" s="95">
        <v>2654</v>
      </c>
      <c r="C45" s="95">
        <v>2440</v>
      </c>
      <c r="D45" s="95">
        <v>2166</v>
      </c>
      <c r="E45" s="95">
        <v>1940</v>
      </c>
      <c r="F45" s="95">
        <v>1093</v>
      </c>
    </row>
    <row r="46" spans="1:6" x14ac:dyDescent="0.2">
      <c r="A46" s="23" t="s">
        <v>95</v>
      </c>
      <c r="B46" s="95">
        <v>0</v>
      </c>
      <c r="C46" s="95">
        <v>1353</v>
      </c>
      <c r="D46" s="95">
        <v>0</v>
      </c>
      <c r="E46" s="95">
        <v>0</v>
      </c>
      <c r="F46" s="95">
        <v>0</v>
      </c>
    </row>
    <row r="47" spans="1:6" x14ac:dyDescent="0.2">
      <c r="A47" s="23" t="s">
        <v>54</v>
      </c>
      <c r="B47" s="95">
        <f>B44+B45+B46</f>
        <v>11329</v>
      </c>
      <c r="C47" s="95">
        <f>C44+C45+C46</f>
        <v>11132</v>
      </c>
      <c r="D47" s="95">
        <f>D44+D45+D46</f>
        <v>7434</v>
      </c>
      <c r="E47" s="95">
        <f>E44+E45+E46</f>
        <v>5864</v>
      </c>
      <c r="F47" s="95">
        <f>F44+F45+F46</f>
        <v>3922</v>
      </c>
    </row>
    <row r="50" spans="1:6" ht="16" thickBot="1" x14ac:dyDescent="0.25">
      <c r="A50" s="220" t="s">
        <v>96</v>
      </c>
      <c r="B50" s="220"/>
      <c r="C50" s="220"/>
      <c r="D50" s="220"/>
      <c r="E50" s="220"/>
      <c r="F50" s="220"/>
    </row>
    <row r="51" spans="1:6" ht="17" thickTop="1" thickBot="1" x14ac:dyDescent="0.25">
      <c r="A51" s="20" t="s">
        <v>97</v>
      </c>
      <c r="B51" s="66">
        <v>2024</v>
      </c>
      <c r="C51" s="66">
        <v>2023</v>
      </c>
      <c r="D51" s="66">
        <v>2022</v>
      </c>
      <c r="E51" s="66">
        <v>2021</v>
      </c>
      <c r="F51" s="66">
        <v>2020</v>
      </c>
    </row>
    <row r="52" spans="1:6" ht="17" thickTop="1" thickBot="1" x14ac:dyDescent="0.25">
      <c r="A52" s="19" t="s">
        <v>98</v>
      </c>
      <c r="B52" s="91">
        <v>47525</v>
      </c>
      <c r="C52" s="91">
        <v>15005</v>
      </c>
      <c r="D52" s="91">
        <v>10613</v>
      </c>
      <c r="E52" s="91">
        <v>6696</v>
      </c>
      <c r="F52" s="91">
        <v>2983</v>
      </c>
    </row>
    <row r="53" spans="1:6" x14ac:dyDescent="0.2">
      <c r="A53" s="19" t="s">
        <v>99</v>
      </c>
      <c r="B53" s="91">
        <v>10447</v>
      </c>
      <c r="C53" s="91">
        <v>9067</v>
      </c>
      <c r="D53" s="91">
        <v>12462</v>
      </c>
      <c r="E53" s="91">
        <v>7759</v>
      </c>
      <c r="F53" s="91">
        <v>5518</v>
      </c>
    </row>
    <row r="54" spans="1:6" x14ac:dyDescent="0.2">
      <c r="A54" s="19" t="s">
        <v>100</v>
      </c>
      <c r="B54" s="91">
        <v>1553</v>
      </c>
      <c r="C54" s="91">
        <v>1544</v>
      </c>
      <c r="D54" s="91">
        <v>2111</v>
      </c>
      <c r="E54" s="91">
        <v>1053</v>
      </c>
      <c r="F54" s="91">
        <v>1212</v>
      </c>
    </row>
    <row r="55" spans="1:6" x14ac:dyDescent="0.2">
      <c r="A55" s="19" t="s">
        <v>39</v>
      </c>
      <c r="B55" s="91">
        <v>1091</v>
      </c>
      <c r="C55" s="91">
        <v>903</v>
      </c>
      <c r="D55" s="91">
        <v>566</v>
      </c>
      <c r="E55" s="91">
        <v>536</v>
      </c>
      <c r="F55" s="91">
        <v>700</v>
      </c>
    </row>
    <row r="56" spans="1:6" x14ac:dyDescent="0.2">
      <c r="A56" s="19" t="s">
        <v>101</v>
      </c>
      <c r="B56" s="91">
        <v>306</v>
      </c>
      <c r="C56" s="91">
        <v>455</v>
      </c>
      <c r="D56" s="91">
        <v>1162</v>
      </c>
      <c r="E56" s="91">
        <v>631</v>
      </c>
      <c r="F56" s="91">
        <v>505</v>
      </c>
    </row>
    <row r="57" spans="1:6" x14ac:dyDescent="0.2">
      <c r="A57" s="19" t="s">
        <v>1</v>
      </c>
      <c r="B57" s="91">
        <f>B52+B53+B54+B55+B56</f>
        <v>60922</v>
      </c>
      <c r="C57" s="91">
        <f>C52+C53+C54+C55+C56</f>
        <v>26974</v>
      </c>
      <c r="D57" s="91">
        <f>D52+D53+D54+D55+D56</f>
        <v>26914</v>
      </c>
      <c r="E57" s="91">
        <f>E52+E53+E54+E55+E56</f>
        <v>16675</v>
      </c>
      <c r="F57" s="91">
        <f>F52+F53+F54+F55+F56</f>
        <v>10918</v>
      </c>
    </row>
    <row r="60" spans="1:6" ht="16" thickBot="1" x14ac:dyDescent="0.25">
      <c r="A60" s="220" t="s">
        <v>102</v>
      </c>
      <c r="B60" s="220"/>
      <c r="C60" s="220"/>
      <c r="D60" s="220"/>
      <c r="E60" s="220"/>
      <c r="F60" s="220"/>
    </row>
    <row r="61" spans="1:6" ht="17" thickTop="1" thickBot="1" x14ac:dyDescent="0.25">
      <c r="A61" s="20" t="s">
        <v>103</v>
      </c>
      <c r="B61" s="66">
        <v>2024</v>
      </c>
      <c r="C61" s="66">
        <v>2023</v>
      </c>
      <c r="D61" s="66">
        <v>2022</v>
      </c>
      <c r="E61" s="66">
        <v>2021</v>
      </c>
      <c r="F61" s="66">
        <v>2020</v>
      </c>
    </row>
    <row r="62" spans="1:6" ht="17" thickTop="1" thickBot="1" x14ac:dyDescent="0.25">
      <c r="A62" s="19" t="s">
        <v>104</v>
      </c>
      <c r="B62" s="25">
        <f>(B8/B6)</f>
        <v>0.72717573290436954</v>
      </c>
      <c r="C62" s="25">
        <f t="shared" ref="C62:E62" si="5">(C8/C6)</f>
        <v>0.56928894490991322</v>
      </c>
      <c r="D62" s="25">
        <f t="shared" si="5"/>
        <v>0.64929033216913135</v>
      </c>
      <c r="E62" s="25">
        <f t="shared" si="5"/>
        <v>0.62344827586206897</v>
      </c>
      <c r="F62" s="25">
        <f>(F8/F6)</f>
        <v>0.61989375343469499</v>
      </c>
    </row>
    <row r="63" spans="1:6" x14ac:dyDescent="0.2">
      <c r="A63" s="19" t="s">
        <v>68</v>
      </c>
      <c r="B63" s="25">
        <f>(B10/B6)</f>
        <v>0.54121663766783756</v>
      </c>
      <c r="C63" s="25">
        <f t="shared" ref="C63:F63" si="6">(C10/C6)</f>
        <v>0.1565952398606065</v>
      </c>
      <c r="D63" s="25">
        <f t="shared" si="6"/>
        <v>0.37307720888756779</v>
      </c>
      <c r="E63" s="25">
        <f t="shared" si="6"/>
        <v>0.27178410794602698</v>
      </c>
      <c r="F63" s="25">
        <f t="shared" si="6"/>
        <v>0.2606704524638212</v>
      </c>
    </row>
    <row r="64" spans="1:6" ht="17" thickTop="1" thickBot="1" x14ac:dyDescent="0.25">
      <c r="A64" s="19" t="s">
        <v>40</v>
      </c>
      <c r="B64" s="25">
        <f>(B14/B6)</f>
        <v>0.4884934834706674</v>
      </c>
      <c r="C64" s="25">
        <f t="shared" ref="C64:F64" si="7">(C14/C6)</f>
        <v>0.16193371394676356</v>
      </c>
      <c r="D64" s="25">
        <f t="shared" si="7"/>
        <v>0.36233930296499961</v>
      </c>
      <c r="E64" s="25">
        <f t="shared" si="7"/>
        <v>0.25979010494752625</v>
      </c>
      <c r="F64" s="25">
        <f t="shared" si="7"/>
        <v>0.25609085913170909</v>
      </c>
    </row>
    <row r="65" spans="1:25" ht="15" customHeight="1" thickTop="1" x14ac:dyDescent="0.2"/>
    <row r="66" spans="1:25" ht="16" thickBot="1" x14ac:dyDescent="0.25">
      <c r="A66" s="220" t="s">
        <v>105</v>
      </c>
      <c r="B66" s="220"/>
      <c r="C66" s="220"/>
      <c r="D66" s="220"/>
      <c r="E66" s="220"/>
      <c r="F66" s="220"/>
    </row>
    <row r="67" spans="1:25" s="17" customFormat="1" ht="18" thickTop="1" thickBot="1" x14ac:dyDescent="0.25">
      <c r="A67" s="18" t="s">
        <v>106</v>
      </c>
      <c r="B67" s="18" t="s">
        <v>18</v>
      </c>
      <c r="C67" s="18" t="s">
        <v>19</v>
      </c>
      <c r="D67" s="18" t="s">
        <v>20</v>
      </c>
      <c r="E67" s="18" t="s">
        <v>21</v>
      </c>
      <c r="F67" s="18" t="s">
        <v>107</v>
      </c>
    </row>
    <row r="68" spans="1:25" ht="15" customHeight="1" thickTop="1" thickBot="1" x14ac:dyDescent="0.25">
      <c r="A68" s="19" t="s">
        <v>1</v>
      </c>
      <c r="B68" s="25">
        <f>B6/C6-1</f>
        <v>1.2585452658115224</v>
      </c>
      <c r="C68" s="25">
        <f>C6/D6-1</f>
        <v>2.2293230289069932E-3</v>
      </c>
      <c r="D68" s="25">
        <f>D6/E6-1</f>
        <v>0.61403298350824587</v>
      </c>
      <c r="E68" s="25">
        <f>E6/F6-1</f>
        <v>0.52729437625938824</v>
      </c>
      <c r="F68" s="25">
        <v>-6.8000000000000005E-2</v>
      </c>
      <c r="Q68" s="49"/>
    </row>
    <row r="69" spans="1:25" ht="15" customHeight="1" thickTop="1" thickBot="1" x14ac:dyDescent="0.25">
      <c r="A69" s="19" t="s">
        <v>54</v>
      </c>
      <c r="B69" s="25">
        <f>B9/C9-1</f>
        <v>1.7696730147322981E-2</v>
      </c>
      <c r="C69" s="25">
        <f>C9/D9-1</f>
        <v>0.49744417541027719</v>
      </c>
      <c r="D69" s="25">
        <f>D9/E9-1</f>
        <v>0.26773533424283769</v>
      </c>
      <c r="E69" s="25">
        <f>E9/F9-1</f>
        <v>0.49515553289138192</v>
      </c>
      <c r="F69" s="25">
        <f>F9/3367-1</f>
        <v>0.16483516483516492</v>
      </c>
      <c r="Q69" s="49"/>
    </row>
    <row r="70" spans="1:25" ht="15" customHeight="1" thickTop="1" thickBot="1" x14ac:dyDescent="0.25">
      <c r="A70" s="19" t="s">
        <v>66</v>
      </c>
      <c r="B70" s="25">
        <f>B8/C8-1</f>
        <v>1.8849309716071896</v>
      </c>
      <c r="C70" s="25">
        <f>C8/D8-1</f>
        <v>-0.12125894134477821</v>
      </c>
      <c r="D70" s="25">
        <f>D8/E8-1</f>
        <v>0.68093497499038103</v>
      </c>
      <c r="E70" s="25">
        <f>E8/F8-1</f>
        <v>0.53605200945626486</v>
      </c>
      <c r="F70" s="25">
        <v>-5.6000000000000001E-2</v>
      </c>
      <c r="Q70" s="15"/>
      <c r="R70" s="15"/>
      <c r="S70" s="15"/>
      <c r="T70" s="15"/>
      <c r="U70" s="15"/>
      <c r="V70" s="15"/>
      <c r="W70" s="15"/>
      <c r="X70" s="17"/>
      <c r="Y70" s="17"/>
    </row>
    <row r="71" spans="1:25" ht="15" customHeight="1" x14ac:dyDescent="0.2">
      <c r="A71" s="19" t="s">
        <v>67</v>
      </c>
      <c r="B71" s="25">
        <f>B10/C10-1</f>
        <v>6.8058712121212119</v>
      </c>
      <c r="C71" s="25">
        <f>C10/D10-1</f>
        <v>-0.57932476844935765</v>
      </c>
      <c r="D71" s="25">
        <f>D10/E10-1</f>
        <v>1.215578111209179</v>
      </c>
      <c r="E71" s="25">
        <f>E10/F10-1</f>
        <v>0.59241040056219263</v>
      </c>
      <c r="F71" s="25">
        <v>-0.252</v>
      </c>
      <c r="Q71" s="15"/>
      <c r="R71" s="15"/>
      <c r="S71" s="15"/>
      <c r="T71" s="15"/>
      <c r="U71" s="15"/>
      <c r="V71" s="15"/>
      <c r="W71" s="15"/>
    </row>
    <row r="72" spans="1:25" ht="15" customHeight="1" x14ac:dyDescent="0.2">
      <c r="A72" s="19" t="s">
        <v>71</v>
      </c>
      <c r="B72" s="25">
        <f>B14/C14-1</f>
        <v>5.813186813186813</v>
      </c>
      <c r="C72" s="25">
        <f t="shared" ref="C72:E72" si="8">C14/D14-1</f>
        <v>-0.55209187858900743</v>
      </c>
      <c r="D72" s="25">
        <f t="shared" si="8"/>
        <v>1.2511542012927053</v>
      </c>
      <c r="E72" s="25">
        <f t="shared" si="8"/>
        <v>0.54935622317596566</v>
      </c>
      <c r="F72" s="25">
        <v>-0.32600000000000001</v>
      </c>
      <c r="Q72" s="15"/>
      <c r="R72" s="15"/>
      <c r="S72" s="15"/>
      <c r="T72" s="15"/>
      <c r="U72" s="15"/>
      <c r="V72" s="15"/>
      <c r="W72" s="15"/>
    </row>
    <row r="73" spans="1:25" ht="15" customHeight="1" thickTop="1" thickBot="1" x14ac:dyDescent="0.25">
      <c r="Q73" s="15"/>
      <c r="R73" s="15"/>
      <c r="S73" s="15"/>
      <c r="T73" s="15"/>
      <c r="U73" s="15"/>
      <c r="V73" s="15"/>
      <c r="W73" s="15"/>
    </row>
    <row r="74" spans="1:25" ht="15" customHeight="1" thickTop="1" thickBot="1" x14ac:dyDescent="0.25">
      <c r="A74" s="56"/>
      <c r="B74" s="56"/>
      <c r="C74" s="56" t="s">
        <v>108</v>
      </c>
      <c r="D74" s="56"/>
      <c r="E74" s="56"/>
      <c r="F74" s="56"/>
      <c r="Q74" s="15"/>
      <c r="R74" s="15"/>
      <c r="S74" s="15"/>
      <c r="T74" s="15"/>
      <c r="U74" s="15"/>
      <c r="V74" s="15"/>
      <c r="W74" s="15"/>
    </row>
    <row r="75" spans="1:25" ht="15" customHeight="1" thickTop="1" thickBot="1" x14ac:dyDescent="0.25">
      <c r="A75" s="57" t="s">
        <v>109</v>
      </c>
      <c r="B75" s="57">
        <v>2024</v>
      </c>
      <c r="C75" s="57">
        <v>2023</v>
      </c>
      <c r="D75" s="57">
        <v>2022</v>
      </c>
      <c r="E75" s="57">
        <v>2021</v>
      </c>
      <c r="F75" s="57">
        <v>2020</v>
      </c>
    </row>
    <row r="76" spans="1:25" ht="15" customHeight="1" thickTop="1" thickBot="1" x14ac:dyDescent="0.25">
      <c r="A76" s="96" t="s">
        <v>110</v>
      </c>
      <c r="B76" s="97">
        <v>26966</v>
      </c>
      <c r="C76" s="97">
        <v>8292</v>
      </c>
      <c r="D76" s="98">
        <v>4349</v>
      </c>
      <c r="E76" s="97">
        <v>5044</v>
      </c>
      <c r="F76" s="97">
        <v>866</v>
      </c>
    </row>
    <row r="77" spans="1:25" ht="15" customHeight="1" thickTop="1" thickBot="1" x14ac:dyDescent="0.25">
      <c r="A77" s="96" t="s">
        <v>111</v>
      </c>
      <c r="B77" s="97">
        <v>13405</v>
      </c>
      <c r="C77" s="97">
        <v>6986</v>
      </c>
      <c r="D77" s="97">
        <v>8544</v>
      </c>
      <c r="E77" s="97">
        <v>4531</v>
      </c>
      <c r="F77" s="97">
        <v>3025</v>
      </c>
    </row>
    <row r="78" spans="1:25" ht="15" customHeight="1" thickTop="1" thickBot="1" x14ac:dyDescent="0.25">
      <c r="A78" s="96" t="s">
        <v>112</v>
      </c>
      <c r="B78" s="97">
        <v>10306</v>
      </c>
      <c r="C78" s="97">
        <v>5785</v>
      </c>
      <c r="D78" s="97">
        <v>7111</v>
      </c>
      <c r="E78" s="97">
        <v>3886</v>
      </c>
      <c r="F78" s="97">
        <v>2731</v>
      </c>
    </row>
    <row r="79" spans="1:25" ht="15" customHeight="1" thickTop="1" thickBot="1" x14ac:dyDescent="0.25">
      <c r="A79" s="96" t="s">
        <v>113</v>
      </c>
      <c r="B79" s="97">
        <v>10245</v>
      </c>
      <c r="C79" s="97">
        <v>5911</v>
      </c>
      <c r="D79" s="97">
        <v>6910</v>
      </c>
      <c r="E79" s="97">
        <v>5044</v>
      </c>
      <c r="F79" s="97">
        <v>4276</v>
      </c>
    </row>
    <row r="80" spans="1:25" ht="15" customHeight="1" thickTop="1" thickBot="1" x14ac:dyDescent="0.25">
      <c r="A80" s="96" t="s">
        <v>114</v>
      </c>
      <c r="B80" s="97">
        <v>60922</v>
      </c>
      <c r="C80" s="97">
        <v>26974</v>
      </c>
      <c r="D80" s="97">
        <v>26914</v>
      </c>
      <c r="E80" s="97">
        <v>16675</v>
      </c>
      <c r="F80" s="97">
        <v>10918</v>
      </c>
    </row>
    <row r="81" spans="1:1" ht="15" customHeight="1" thickTop="1" x14ac:dyDescent="0.2"/>
    <row r="86" spans="1:1" x14ac:dyDescent="0.2"/>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sheetData>
  <mergeCells count="9">
    <mergeCell ref="A1:AO1"/>
    <mergeCell ref="A60:F60"/>
    <mergeCell ref="A66:F66"/>
    <mergeCell ref="A17:F17"/>
    <mergeCell ref="A3:F3"/>
    <mergeCell ref="A28:F28"/>
    <mergeCell ref="A36:F36"/>
    <mergeCell ref="A42:F42"/>
    <mergeCell ref="A50:F50"/>
  </mergeCells>
  <phoneticPr fontId="26" type="noConversion"/>
  <conditionalFormatting sqref="A29 A30:F33">
    <cfRule type="cellIs" dxfId="3" priority="1" operator="lessThan">
      <formula>0</formula>
    </cfRule>
  </conditionalFormatting>
  <conditionalFormatting sqref="A68:F72">
    <cfRule type="cellIs" dxfId="2" priority="2" operator="lessThan">
      <formula>0</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6C48-F621-6A47-BF1D-493912322465}">
  <dimension ref="A1:AK114"/>
  <sheetViews>
    <sheetView zoomScale="50" zoomScaleNormal="117" workbookViewId="0">
      <selection activeCell="A104" sqref="A104"/>
    </sheetView>
  </sheetViews>
  <sheetFormatPr baseColWidth="10" defaultColWidth="11.5" defaultRowHeight="15" x14ac:dyDescent="0.2"/>
  <cols>
    <col min="1" max="1" width="50.1640625" bestFit="1" customWidth="1"/>
    <col min="2" max="5" width="11.5" bestFit="1" customWidth="1"/>
    <col min="6" max="6" width="12.1640625" bestFit="1" customWidth="1"/>
  </cols>
  <sheetData>
    <row r="1" spans="1:36" ht="55" customHeight="1" thickBot="1" x14ac:dyDescent="0.45">
      <c r="A1" s="285" t="s">
        <v>115</v>
      </c>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7"/>
      <c r="AE1" s="52" t="s">
        <v>333</v>
      </c>
      <c r="AF1" s="52"/>
      <c r="AG1" s="52"/>
      <c r="AH1" s="52"/>
      <c r="AI1" s="52"/>
      <c r="AJ1" s="52"/>
    </row>
    <row r="2" spans="1:36" ht="15" customHeight="1" x14ac:dyDescent="0.2"/>
    <row r="3" spans="1:36" ht="18" x14ac:dyDescent="0.2">
      <c r="A3" s="241" t="s">
        <v>57</v>
      </c>
      <c r="B3" s="241"/>
      <c r="C3" s="241"/>
      <c r="D3" s="241"/>
      <c r="E3" s="241"/>
      <c r="F3" s="241"/>
    </row>
    <row r="4" spans="1:36" x14ac:dyDescent="0.2">
      <c r="A4" s="67" t="s">
        <v>116</v>
      </c>
      <c r="B4" s="48" t="s">
        <v>117</v>
      </c>
      <c r="C4" s="48" t="s">
        <v>118</v>
      </c>
      <c r="D4" s="48" t="s">
        <v>119</v>
      </c>
      <c r="E4" s="48" t="s">
        <v>120</v>
      </c>
      <c r="F4" s="48" t="s">
        <v>121</v>
      </c>
      <c r="Q4" s="229" t="s">
        <v>325</v>
      </c>
      <c r="R4" s="230"/>
      <c r="S4" s="230"/>
      <c r="T4" s="230"/>
      <c r="U4" s="230"/>
      <c r="V4" s="231"/>
    </row>
    <row r="5" spans="1:36" ht="15" customHeight="1" x14ac:dyDescent="0.2">
      <c r="A5" s="1" t="s">
        <v>122</v>
      </c>
      <c r="B5" s="1">
        <v>2024</v>
      </c>
      <c r="C5" s="1">
        <v>2023</v>
      </c>
      <c r="D5" s="1">
        <v>2022</v>
      </c>
      <c r="E5" s="1">
        <v>2021</v>
      </c>
      <c r="F5" s="1">
        <v>2020</v>
      </c>
      <c r="Q5" s="232"/>
      <c r="R5" s="233"/>
      <c r="S5" s="233"/>
      <c r="T5" s="233"/>
      <c r="U5" s="233"/>
      <c r="V5" s="234"/>
      <c r="AE5" s="60"/>
      <c r="AF5" s="60"/>
      <c r="AG5" s="60"/>
      <c r="AH5" s="60"/>
      <c r="AI5" s="60"/>
    </row>
    <row r="6" spans="1:36" x14ac:dyDescent="0.2">
      <c r="A6" s="27" t="s">
        <v>123</v>
      </c>
      <c r="B6" s="3">
        <v>25785</v>
      </c>
      <c r="C6" s="3">
        <v>22680</v>
      </c>
      <c r="D6" s="4">
        <v>23601</v>
      </c>
      <c r="E6" s="4">
        <v>16434</v>
      </c>
      <c r="F6" s="4">
        <v>9763</v>
      </c>
      <c r="P6" s="58"/>
      <c r="Q6" s="232"/>
      <c r="R6" s="233"/>
      <c r="S6" s="233"/>
      <c r="T6" s="233"/>
      <c r="U6" s="233"/>
      <c r="V6" s="234"/>
      <c r="AE6" s="60"/>
      <c r="AF6" s="60"/>
      <c r="AG6" s="60"/>
      <c r="AH6" s="60"/>
      <c r="AI6" s="60"/>
    </row>
    <row r="7" spans="1:36" x14ac:dyDescent="0.2">
      <c r="A7" s="27" t="s">
        <v>124</v>
      </c>
      <c r="B7" s="5">
        <v>13060</v>
      </c>
      <c r="C7" s="3">
        <v>12220</v>
      </c>
      <c r="D7" s="4">
        <v>12998</v>
      </c>
      <c r="E7" s="4">
        <v>8505</v>
      </c>
      <c r="F7" s="4">
        <v>5416</v>
      </c>
      <c r="P7" s="58"/>
      <c r="Q7" s="232"/>
      <c r="R7" s="233"/>
      <c r="S7" s="233"/>
      <c r="T7" s="233"/>
      <c r="U7" s="233"/>
      <c r="V7" s="234"/>
      <c r="AE7" s="60"/>
      <c r="AF7" s="60"/>
      <c r="AG7" s="60"/>
      <c r="AH7" s="60"/>
      <c r="AI7" s="60"/>
    </row>
    <row r="8" spans="1:36" x14ac:dyDescent="0.2">
      <c r="A8" s="27" t="s">
        <v>66</v>
      </c>
      <c r="B8" s="5">
        <f>B6-B7</f>
        <v>12725</v>
      </c>
      <c r="C8" s="5">
        <f>C6-C7</f>
        <v>10460</v>
      </c>
      <c r="D8" s="5">
        <f>D6-D7</f>
        <v>10603</v>
      </c>
      <c r="E8" s="5">
        <f>E6-E7</f>
        <v>7929</v>
      </c>
      <c r="F8" s="5">
        <f>F6-F7</f>
        <v>4347</v>
      </c>
      <c r="P8" s="58"/>
      <c r="Q8" s="232"/>
      <c r="R8" s="233"/>
      <c r="S8" s="233"/>
      <c r="T8" s="233"/>
      <c r="U8" s="233"/>
      <c r="V8" s="234"/>
      <c r="AE8" s="60"/>
      <c r="AF8" s="60"/>
      <c r="AG8" s="60"/>
      <c r="AH8" s="60"/>
      <c r="AI8" s="60"/>
    </row>
    <row r="9" spans="1:36" x14ac:dyDescent="0.2">
      <c r="A9" s="27" t="s">
        <v>125</v>
      </c>
      <c r="B9" s="5">
        <f>B41</f>
        <v>10825</v>
      </c>
      <c r="C9" s="5">
        <f>C41</f>
        <v>10059</v>
      </c>
      <c r="D9" s="5">
        <f>D41</f>
        <v>9339</v>
      </c>
      <c r="E9" s="5">
        <f>E41</f>
        <v>4281</v>
      </c>
      <c r="F9" s="5">
        <f>F41</f>
        <v>2978</v>
      </c>
      <c r="P9" s="58"/>
      <c r="Q9" s="232"/>
      <c r="R9" s="233"/>
      <c r="S9" s="233"/>
      <c r="T9" s="233"/>
      <c r="U9" s="233"/>
      <c r="V9" s="234"/>
      <c r="AE9" s="60"/>
      <c r="AF9" s="60"/>
      <c r="AG9" s="60"/>
      <c r="AH9" s="60"/>
      <c r="AI9" s="60"/>
    </row>
    <row r="10" spans="1:36" x14ac:dyDescent="0.2">
      <c r="A10" s="27" t="s">
        <v>126</v>
      </c>
      <c r="B10" s="5">
        <f>B8-B9</f>
        <v>1900</v>
      </c>
      <c r="C10" s="5">
        <f>C8-C9</f>
        <v>401</v>
      </c>
      <c r="D10" s="5">
        <f>D8-D9</f>
        <v>1264</v>
      </c>
      <c r="E10" s="5">
        <f>E8-E9</f>
        <v>3648</v>
      </c>
      <c r="F10" s="5">
        <f>F8-F9</f>
        <v>1369</v>
      </c>
      <c r="P10" s="58"/>
      <c r="Q10" s="235"/>
      <c r="R10" s="236"/>
      <c r="S10" s="236"/>
      <c r="T10" s="236"/>
      <c r="U10" s="236"/>
      <c r="V10" s="237"/>
      <c r="AE10" s="60"/>
      <c r="AF10" s="60"/>
      <c r="AG10" s="60"/>
      <c r="AH10" s="60"/>
      <c r="AI10" s="60"/>
    </row>
    <row r="11" spans="1:36" x14ac:dyDescent="0.2">
      <c r="A11" s="27" t="s">
        <v>127</v>
      </c>
      <c r="B11" s="5">
        <v>181</v>
      </c>
      <c r="C11" s="5">
        <v>197</v>
      </c>
      <c r="D11" s="5">
        <v>8</v>
      </c>
      <c r="E11" s="5">
        <v>55</v>
      </c>
      <c r="F11" s="5">
        <v>-47</v>
      </c>
      <c r="P11" s="58"/>
      <c r="AE11" s="60"/>
      <c r="AF11" s="60"/>
      <c r="AG11" s="60"/>
      <c r="AH11" s="60"/>
      <c r="AI11" s="60"/>
    </row>
    <row r="12" spans="1:36" x14ac:dyDescent="0.2">
      <c r="A12" s="27" t="s">
        <v>128</v>
      </c>
      <c r="B12" s="5">
        <v>-92</v>
      </c>
      <c r="C12" s="5">
        <v>-106</v>
      </c>
      <c r="D12" s="5">
        <v>-88</v>
      </c>
      <c r="E12" s="5">
        <v>-34</v>
      </c>
      <c r="F12" s="5">
        <v>-47</v>
      </c>
      <c r="P12" s="59"/>
      <c r="Q12" s="228" t="s">
        <v>326</v>
      </c>
      <c r="R12" s="228"/>
      <c r="S12" s="228"/>
      <c r="T12" s="228"/>
      <c r="U12" s="228"/>
      <c r="V12" s="228"/>
      <c r="AE12" s="60"/>
      <c r="AF12" s="60"/>
      <c r="AG12" s="60"/>
      <c r="AH12" s="60"/>
      <c r="AI12" s="60"/>
    </row>
    <row r="13" spans="1:36" x14ac:dyDescent="0.2">
      <c r="A13" s="27" t="s">
        <v>71</v>
      </c>
      <c r="B13" s="5">
        <v>1641</v>
      </c>
      <c r="C13" s="5">
        <v>854</v>
      </c>
      <c r="D13" s="5">
        <v>1320</v>
      </c>
      <c r="E13" s="5">
        <v>3162</v>
      </c>
      <c r="F13" s="5">
        <v>2490</v>
      </c>
      <c r="P13" s="59"/>
      <c r="Q13" s="228"/>
      <c r="R13" s="228"/>
      <c r="S13" s="228"/>
      <c r="T13" s="228"/>
      <c r="U13" s="228"/>
      <c r="V13" s="228"/>
      <c r="AE13" s="60"/>
      <c r="AF13" s="60"/>
      <c r="AG13" s="60"/>
      <c r="AH13" s="60"/>
      <c r="AI13" s="60"/>
    </row>
    <row r="14" spans="1:36" x14ac:dyDescent="0.2">
      <c r="A14" s="27" t="s">
        <v>129</v>
      </c>
      <c r="B14" s="5">
        <v>1582</v>
      </c>
      <c r="C14" s="5">
        <v>885</v>
      </c>
      <c r="D14" s="5">
        <v>1282</v>
      </c>
      <c r="E14" s="5">
        <v>3142</v>
      </c>
      <c r="F14" s="5">
        <v>2507</v>
      </c>
      <c r="P14" s="59"/>
      <c r="Q14" s="228"/>
      <c r="R14" s="228"/>
      <c r="S14" s="228"/>
      <c r="T14" s="228"/>
      <c r="U14" s="228"/>
      <c r="V14" s="228"/>
      <c r="AE14" s="60"/>
      <c r="AF14" s="60"/>
      <c r="AG14" s="60"/>
      <c r="AH14" s="60"/>
      <c r="AI14" s="60"/>
    </row>
    <row r="15" spans="1:36" x14ac:dyDescent="0.2">
      <c r="P15" s="59"/>
      <c r="Q15" s="228"/>
      <c r="R15" s="228"/>
      <c r="S15" s="228"/>
      <c r="T15" s="228"/>
      <c r="U15" s="228"/>
      <c r="V15" s="228"/>
      <c r="AE15" s="60"/>
      <c r="AF15" s="60"/>
      <c r="AG15" s="60"/>
      <c r="AH15" s="60"/>
      <c r="AI15" s="60"/>
    </row>
    <row r="16" spans="1:36" x14ac:dyDescent="0.2">
      <c r="A16" s="245" t="s">
        <v>130</v>
      </c>
      <c r="B16" s="246"/>
      <c r="C16" s="246"/>
      <c r="D16" s="246"/>
      <c r="E16" s="246"/>
      <c r="F16" s="246"/>
      <c r="P16" s="59"/>
      <c r="Q16" s="228"/>
      <c r="R16" s="228"/>
      <c r="S16" s="228"/>
      <c r="T16" s="228"/>
      <c r="U16" s="228"/>
      <c r="V16" s="228"/>
      <c r="AE16" s="60"/>
      <c r="AF16" s="60"/>
      <c r="AG16" s="60"/>
      <c r="AH16" s="60"/>
      <c r="AI16" s="60"/>
    </row>
    <row r="17" spans="1:35" x14ac:dyDescent="0.2">
      <c r="A17" s="1" t="s">
        <v>131</v>
      </c>
      <c r="B17" s="47" t="s">
        <v>18</v>
      </c>
      <c r="C17" s="47" t="s">
        <v>132</v>
      </c>
      <c r="D17" s="47" t="s">
        <v>20</v>
      </c>
      <c r="E17" s="47" t="s">
        <v>21</v>
      </c>
      <c r="F17" s="47" t="s">
        <v>107</v>
      </c>
      <c r="P17" s="59"/>
      <c r="Q17" s="228"/>
      <c r="R17" s="228"/>
      <c r="S17" s="228"/>
      <c r="T17" s="228"/>
      <c r="U17" s="228"/>
      <c r="V17" s="228"/>
      <c r="AE17" s="60"/>
      <c r="AF17" s="60"/>
      <c r="AG17" s="60"/>
      <c r="AH17" s="60"/>
      <c r="AI17" s="60"/>
    </row>
    <row r="18" spans="1:35" x14ac:dyDescent="0.2">
      <c r="A18" s="2" t="s">
        <v>123</v>
      </c>
      <c r="B18" s="70">
        <f t="shared" ref="B18:E19" si="0">B6/C6-1</f>
        <v>0.13690476190476186</v>
      </c>
      <c r="C18" s="71">
        <f t="shared" si="0"/>
        <v>-3.9023770179229644E-2</v>
      </c>
      <c r="D18" s="70">
        <f t="shared" si="0"/>
        <v>0.43610806863818907</v>
      </c>
      <c r="E18" s="70">
        <f t="shared" si="0"/>
        <v>0.68329406944586712</v>
      </c>
      <c r="F18" s="70">
        <f>F6/6731-1</f>
        <v>0.45045312732134901</v>
      </c>
      <c r="Q18" s="228"/>
      <c r="R18" s="228"/>
      <c r="S18" s="228"/>
      <c r="T18" s="228"/>
      <c r="U18" s="228"/>
      <c r="V18" s="228"/>
    </row>
    <row r="19" spans="1:35" x14ac:dyDescent="0.2">
      <c r="A19" s="2" t="s">
        <v>23</v>
      </c>
      <c r="B19" s="70">
        <f t="shared" si="0"/>
        <v>6.8739770867430439E-2</v>
      </c>
      <c r="C19" s="71">
        <f t="shared" si="0"/>
        <v>-5.9855362363440578E-2</v>
      </c>
      <c r="D19" s="70">
        <f t="shared" si="0"/>
        <v>0.5282774838330393</v>
      </c>
      <c r="E19" s="70">
        <f t="shared" si="0"/>
        <v>0.57034711964549478</v>
      </c>
      <c r="F19" s="70">
        <f>F7/3863-1</f>
        <v>0.40201915609629824</v>
      </c>
      <c r="Q19" s="228"/>
      <c r="R19" s="228"/>
      <c r="S19" s="228"/>
      <c r="T19" s="228"/>
      <c r="U19" s="228"/>
      <c r="V19" s="228"/>
    </row>
    <row r="20" spans="1:35" x14ac:dyDescent="0.2">
      <c r="A20" s="2" t="s">
        <v>54</v>
      </c>
      <c r="B20" s="70">
        <f>B9/C9-1</f>
        <v>7.6150710806243138E-2</v>
      </c>
      <c r="C20" s="71">
        <f>C9/D9-1</f>
        <v>7.7096048827497654E-2</v>
      </c>
      <c r="D20" s="70">
        <f>D9/E9-1</f>
        <v>1.181499649614576</v>
      </c>
      <c r="E20" s="70">
        <f>E9/F9-1</f>
        <v>0.43754197447951637</v>
      </c>
      <c r="F20" s="70">
        <f>F9/2237-1</f>
        <v>0.33124720607957081</v>
      </c>
      <c r="N20" s="58"/>
    </row>
    <row r="21" spans="1:35" x14ac:dyDescent="0.2">
      <c r="A21" s="2" t="s">
        <v>66</v>
      </c>
      <c r="B21" s="70">
        <f>B8/C8-1</f>
        <v>0.21653919694072665</v>
      </c>
      <c r="C21" s="71">
        <f>C8/D8-1</f>
        <v>-1.34867490332925E-2</v>
      </c>
      <c r="D21" s="70">
        <f>D8/E8-1</f>
        <v>0.33724303190818516</v>
      </c>
      <c r="E21" s="70">
        <f>E8/F8-1</f>
        <v>0.824016563146998</v>
      </c>
      <c r="F21" s="70">
        <f>F8/2868-1</f>
        <v>0.51569037656903771</v>
      </c>
    </row>
    <row r="22" spans="1:35" x14ac:dyDescent="0.2">
      <c r="A22" s="2" t="s">
        <v>133</v>
      </c>
      <c r="B22" s="70">
        <f>B10/C10-1</f>
        <v>3.7381546134663344</v>
      </c>
      <c r="C22" s="71">
        <f>C10/D10-1</f>
        <v>-0.682753164556962</v>
      </c>
      <c r="D22" s="71">
        <f>D10/E10-1</f>
        <v>-0.65350877192982448</v>
      </c>
      <c r="E22" s="70">
        <f>E10/F10-1</f>
        <v>1.6647187728268809</v>
      </c>
      <c r="F22" s="70">
        <f>F10/631-1</f>
        <v>1.1695721077654517</v>
      </c>
    </row>
    <row r="23" spans="1:35" ht="15" customHeight="1" x14ac:dyDescent="0.2">
      <c r="A23" s="2" t="s">
        <v>71</v>
      </c>
      <c r="B23" s="70">
        <f>B13/C13-1</f>
        <v>0.92154566744730682</v>
      </c>
      <c r="C23" s="71">
        <f>C13/D13-1</f>
        <v>-0.35303030303030303</v>
      </c>
      <c r="D23" s="71">
        <f>D13/E13-1</f>
        <v>-0.58254269449715368</v>
      </c>
      <c r="E23" s="70">
        <f>E13/F13-1</f>
        <v>0.26987951807228905</v>
      </c>
      <c r="F23" s="70">
        <f>F13/341-1</f>
        <v>6.3020527859237534</v>
      </c>
      <c r="P23" s="60"/>
      <c r="Q23" s="228" t="s">
        <v>327</v>
      </c>
      <c r="R23" s="228"/>
      <c r="S23" s="228"/>
      <c r="T23" s="228"/>
      <c r="U23" s="228"/>
      <c r="V23" s="228"/>
      <c r="AE23" s="60"/>
      <c r="AF23" s="60"/>
      <c r="AG23" s="60"/>
      <c r="AH23" s="60"/>
      <c r="AI23" s="60"/>
    </row>
    <row r="24" spans="1:35" x14ac:dyDescent="0.2">
      <c r="P24" s="60"/>
      <c r="Q24" s="228"/>
      <c r="R24" s="228"/>
      <c r="S24" s="228"/>
      <c r="T24" s="228"/>
      <c r="U24" s="228"/>
      <c r="V24" s="228"/>
      <c r="AE24" s="60"/>
      <c r="AF24" s="60"/>
      <c r="AG24" s="60"/>
      <c r="AH24" s="60"/>
      <c r="AI24" s="60"/>
    </row>
    <row r="25" spans="1:35" x14ac:dyDescent="0.2">
      <c r="A25" s="245" t="s">
        <v>134</v>
      </c>
      <c r="B25" s="246"/>
      <c r="C25" s="246"/>
      <c r="D25" s="246"/>
      <c r="E25" s="246"/>
      <c r="F25" s="246"/>
      <c r="P25" s="60"/>
      <c r="Q25" s="228"/>
      <c r="R25" s="228"/>
      <c r="S25" s="228"/>
      <c r="T25" s="228"/>
      <c r="U25" s="228"/>
      <c r="V25" s="228"/>
      <c r="AE25" s="60"/>
      <c r="AF25" s="60"/>
      <c r="AG25" s="60"/>
      <c r="AH25" s="60"/>
      <c r="AI25" s="60"/>
    </row>
    <row r="26" spans="1:35" x14ac:dyDescent="0.2">
      <c r="A26" s="1" t="s">
        <v>131</v>
      </c>
      <c r="B26" s="47" t="s">
        <v>135</v>
      </c>
      <c r="C26" s="47" t="s">
        <v>136</v>
      </c>
      <c r="D26" s="47" t="s">
        <v>137</v>
      </c>
      <c r="E26" s="47" t="s">
        <v>21</v>
      </c>
      <c r="F26" s="47">
        <v>2020</v>
      </c>
      <c r="O26" s="6"/>
      <c r="P26" s="60"/>
      <c r="Q26" s="228"/>
      <c r="R26" s="228"/>
      <c r="S26" s="228"/>
      <c r="T26" s="228"/>
      <c r="U26" s="228"/>
      <c r="V26" s="228"/>
      <c r="AE26" s="60"/>
      <c r="AF26" s="60"/>
      <c r="AG26" s="60"/>
      <c r="AH26" s="60"/>
      <c r="AI26" s="60"/>
    </row>
    <row r="27" spans="1:35" x14ac:dyDescent="0.2">
      <c r="A27" s="2" t="s">
        <v>123</v>
      </c>
      <c r="B27" s="70">
        <f>B6/F6-1</f>
        <v>1.6410939260473216</v>
      </c>
      <c r="C27" s="70">
        <f>C6/F6-1</f>
        <v>1.3230564375704188</v>
      </c>
      <c r="D27" s="70">
        <f>D6/F6-1</f>
        <v>1.4173921950220221</v>
      </c>
      <c r="E27" s="70">
        <f>E6/F6-1</f>
        <v>0.68329406944586712</v>
      </c>
      <c r="F27" s="70">
        <f t="shared" ref="F27:F32" si="1">F6/F6-1</f>
        <v>0</v>
      </c>
      <c r="P27" s="60"/>
      <c r="Q27" s="228"/>
      <c r="R27" s="228"/>
      <c r="S27" s="228"/>
      <c r="T27" s="228"/>
      <c r="U27" s="228"/>
      <c r="V27" s="228"/>
      <c r="AE27" s="60"/>
      <c r="AF27" s="60"/>
      <c r="AG27" s="60"/>
      <c r="AH27" s="60"/>
      <c r="AI27" s="60"/>
    </row>
    <row r="28" spans="1:35" x14ac:dyDescent="0.2">
      <c r="A28" s="2" t="s">
        <v>23</v>
      </c>
      <c r="B28" s="70">
        <f>B7/F7-1</f>
        <v>1.4113737075332349</v>
      </c>
      <c r="C28" s="70">
        <f>C7/F7-1</f>
        <v>1.2562776957163959</v>
      </c>
      <c r="D28" s="70">
        <f>D7/F7-1</f>
        <v>1.3999261447562779</v>
      </c>
      <c r="E28" s="70">
        <f>E7/F7-1</f>
        <v>0.57034711964549478</v>
      </c>
      <c r="F28" s="70">
        <f t="shared" si="1"/>
        <v>0</v>
      </c>
      <c r="P28" s="60"/>
      <c r="Q28" s="228"/>
      <c r="R28" s="228"/>
      <c r="S28" s="228"/>
      <c r="T28" s="228"/>
      <c r="U28" s="228"/>
      <c r="V28" s="228"/>
      <c r="AE28" s="60"/>
      <c r="AF28" s="60"/>
      <c r="AG28" s="60"/>
      <c r="AH28" s="60"/>
      <c r="AI28" s="60"/>
    </row>
    <row r="29" spans="1:35" x14ac:dyDescent="0.2">
      <c r="A29" s="2" t="s">
        <v>125</v>
      </c>
      <c r="B29" s="70">
        <f>B9/F9-1</f>
        <v>2.6349899261249159</v>
      </c>
      <c r="C29" s="70">
        <f>C9/F9-1</f>
        <v>2.3777703156480858</v>
      </c>
      <c r="D29" s="70">
        <f>D9/F9-1</f>
        <v>2.135997313633311</v>
      </c>
      <c r="E29" s="70">
        <f>E9/F9-1</f>
        <v>0.43754197447951637</v>
      </c>
      <c r="F29" s="70">
        <f t="shared" si="1"/>
        <v>0</v>
      </c>
      <c r="P29" s="60"/>
      <c r="Q29" s="228"/>
      <c r="R29" s="228"/>
      <c r="S29" s="228"/>
      <c r="T29" s="228"/>
      <c r="U29" s="228"/>
      <c r="V29" s="228"/>
      <c r="AE29" s="60"/>
      <c r="AF29" s="60"/>
      <c r="AG29" s="60"/>
      <c r="AH29" s="60"/>
      <c r="AI29" s="60"/>
    </row>
    <row r="30" spans="1:35" x14ac:dyDescent="0.2">
      <c r="A30" s="2" t="s">
        <v>66</v>
      </c>
      <c r="B30" s="70">
        <f>B8/F8-1</f>
        <v>1.9273061881757534</v>
      </c>
      <c r="C30" s="70">
        <f>C8/F8-1</f>
        <v>1.4062571888658844</v>
      </c>
      <c r="D30" s="70">
        <f>D8/F8-1</f>
        <v>1.4391534391534391</v>
      </c>
      <c r="E30" s="70">
        <f>E8/F8-1</f>
        <v>0.824016563146998</v>
      </c>
      <c r="F30" s="70">
        <f t="shared" si="1"/>
        <v>0</v>
      </c>
      <c r="P30" s="60"/>
      <c r="Q30" s="228"/>
      <c r="R30" s="228"/>
      <c r="S30" s="228"/>
      <c r="T30" s="228"/>
      <c r="U30" s="228"/>
      <c r="V30" s="228"/>
      <c r="AE30" s="60"/>
      <c r="AF30" s="60"/>
      <c r="AG30" s="60"/>
      <c r="AH30" s="60"/>
      <c r="AI30" s="60"/>
    </row>
    <row r="31" spans="1:35" x14ac:dyDescent="0.2">
      <c r="A31" s="2" t="s">
        <v>133</v>
      </c>
      <c r="B31" s="70">
        <f>B10/F10-1</f>
        <v>0.38787436084733384</v>
      </c>
      <c r="C31" s="71">
        <f>C10/F10-1</f>
        <v>-0.7070854638422206</v>
      </c>
      <c r="D31" s="71">
        <f>D10/F10-1</f>
        <v>-7.6698319941563176E-2</v>
      </c>
      <c r="E31" s="70">
        <f>E10/F10-1</f>
        <v>1.6647187728268809</v>
      </c>
      <c r="F31" s="70">
        <f t="shared" si="1"/>
        <v>0</v>
      </c>
      <c r="P31" s="60"/>
      <c r="AE31" s="60"/>
      <c r="AF31" s="60"/>
      <c r="AG31" s="60"/>
      <c r="AH31" s="60"/>
      <c r="AI31" s="60"/>
    </row>
    <row r="32" spans="1:35" x14ac:dyDescent="0.2">
      <c r="A32" s="2" t="s">
        <v>71</v>
      </c>
      <c r="B32" s="71">
        <f>B13/F13-1</f>
        <v>-0.34096385542168672</v>
      </c>
      <c r="C32" s="71">
        <f>C13/F13-1</f>
        <v>-0.6570281124497992</v>
      </c>
      <c r="D32" s="71">
        <f>D13/F13-1</f>
        <v>-0.46987951807228912</v>
      </c>
      <c r="E32" s="70">
        <f>E13/F13-1</f>
        <v>0.26987951807228905</v>
      </c>
      <c r="F32" s="70">
        <f t="shared" si="1"/>
        <v>0</v>
      </c>
      <c r="P32" s="59"/>
      <c r="AE32" s="60"/>
      <c r="AF32" s="60"/>
      <c r="AG32" s="60"/>
      <c r="AH32" s="60"/>
      <c r="AI32" s="60"/>
    </row>
    <row r="33" spans="1:35" x14ac:dyDescent="0.2">
      <c r="A33" s="45"/>
      <c r="B33" s="46"/>
      <c r="C33" s="43"/>
      <c r="D33" s="43"/>
      <c r="E33" s="42"/>
      <c r="F33" s="44"/>
      <c r="P33" s="59"/>
      <c r="Q33" s="228" t="s">
        <v>138</v>
      </c>
      <c r="R33" s="228"/>
      <c r="S33" s="228"/>
      <c r="T33" s="228"/>
      <c r="U33" s="228"/>
      <c r="V33" s="228"/>
      <c r="AE33" s="60"/>
      <c r="AF33" s="60"/>
      <c r="AG33" s="60"/>
      <c r="AH33" s="60"/>
      <c r="AI33" s="60"/>
    </row>
    <row r="34" spans="1:35" x14ac:dyDescent="0.2">
      <c r="A34" s="238" t="s">
        <v>139</v>
      </c>
      <c r="B34" s="239"/>
      <c r="C34" s="239"/>
      <c r="D34" s="239"/>
      <c r="E34" s="239"/>
      <c r="F34" s="240"/>
      <c r="P34" s="59"/>
      <c r="Q34" s="228"/>
      <c r="R34" s="228"/>
      <c r="S34" s="228"/>
      <c r="T34" s="228"/>
      <c r="U34" s="228"/>
      <c r="V34" s="228"/>
      <c r="AE34" s="60"/>
      <c r="AF34" s="60"/>
      <c r="AG34" s="60"/>
      <c r="AH34" s="60"/>
      <c r="AI34" s="60"/>
    </row>
    <row r="35" spans="1:35" x14ac:dyDescent="0.2">
      <c r="A35" s="1" t="s">
        <v>122</v>
      </c>
      <c r="B35" s="1">
        <v>2024</v>
      </c>
      <c r="C35" s="1">
        <v>2023</v>
      </c>
      <c r="D35" s="1">
        <v>2022</v>
      </c>
      <c r="E35" s="1">
        <v>2021</v>
      </c>
      <c r="F35" s="1">
        <v>2020</v>
      </c>
      <c r="P35" s="59"/>
      <c r="Q35" s="228"/>
      <c r="R35" s="228"/>
      <c r="S35" s="228"/>
      <c r="T35" s="228"/>
      <c r="U35" s="228"/>
      <c r="V35" s="228"/>
      <c r="AE35" s="60"/>
      <c r="AF35" s="60"/>
      <c r="AG35" s="60"/>
      <c r="AH35" s="60"/>
      <c r="AI35" s="60"/>
    </row>
    <row r="36" spans="1:35" x14ac:dyDescent="0.2">
      <c r="A36" s="2" t="s">
        <v>140</v>
      </c>
      <c r="B36" s="5">
        <v>6456</v>
      </c>
      <c r="C36" s="5">
        <v>5872</v>
      </c>
      <c r="D36" s="5">
        <v>5005</v>
      </c>
      <c r="E36" s="5">
        <v>2845</v>
      </c>
      <c r="F36" s="5">
        <v>1983</v>
      </c>
      <c r="Q36" s="228"/>
      <c r="R36" s="228"/>
      <c r="S36" s="228"/>
      <c r="T36" s="228"/>
      <c r="U36" s="228"/>
      <c r="V36" s="228"/>
    </row>
    <row r="37" spans="1:35" x14ac:dyDescent="0.2">
      <c r="A37" s="2" t="s">
        <v>141</v>
      </c>
      <c r="B37" s="5">
        <v>2783</v>
      </c>
      <c r="C37" s="5">
        <v>2352</v>
      </c>
      <c r="D37" s="5">
        <v>2336</v>
      </c>
      <c r="E37" s="5">
        <v>1448</v>
      </c>
      <c r="F37" s="5">
        <v>995</v>
      </c>
      <c r="Q37" s="228"/>
      <c r="R37" s="228"/>
      <c r="S37" s="228"/>
      <c r="T37" s="228"/>
      <c r="U37" s="228"/>
      <c r="V37" s="228"/>
    </row>
    <row r="38" spans="1:35" x14ac:dyDescent="0.2">
      <c r="A38" s="2" t="s">
        <v>142</v>
      </c>
      <c r="B38" s="5">
        <v>1448</v>
      </c>
      <c r="C38" s="5">
        <v>1869</v>
      </c>
      <c r="D38" s="5">
        <v>2100</v>
      </c>
      <c r="E38" s="5">
        <v>0</v>
      </c>
      <c r="F38" s="5">
        <v>0</v>
      </c>
      <c r="Q38" s="228"/>
      <c r="R38" s="228"/>
      <c r="S38" s="228"/>
      <c r="T38" s="228"/>
      <c r="U38" s="228"/>
      <c r="V38" s="228"/>
    </row>
    <row r="39" spans="1:35" x14ac:dyDescent="0.2">
      <c r="A39" s="2" t="s">
        <v>143</v>
      </c>
      <c r="B39" s="5">
        <v>186</v>
      </c>
      <c r="C39" s="5" t="s">
        <v>144</v>
      </c>
      <c r="D39" s="5" t="s">
        <v>144</v>
      </c>
      <c r="E39" s="5">
        <v>0</v>
      </c>
      <c r="F39" s="5">
        <v>0</v>
      </c>
      <c r="Q39" s="228"/>
      <c r="R39" s="228"/>
      <c r="S39" s="228"/>
      <c r="T39" s="228"/>
      <c r="U39" s="228"/>
      <c r="V39" s="228"/>
    </row>
    <row r="40" spans="1:35" x14ac:dyDescent="0.2">
      <c r="A40" s="2" t="s">
        <v>145</v>
      </c>
      <c r="B40" s="5">
        <v>-48</v>
      </c>
      <c r="C40" s="5">
        <v>-34</v>
      </c>
      <c r="D40" s="5">
        <v>-102</v>
      </c>
      <c r="E40" s="5">
        <v>-12</v>
      </c>
      <c r="F40" s="5">
        <v>0</v>
      </c>
      <c r="Q40" s="228"/>
      <c r="R40" s="228"/>
      <c r="S40" s="228"/>
      <c r="T40" s="228"/>
      <c r="U40" s="228"/>
      <c r="V40" s="228"/>
    </row>
    <row r="41" spans="1:35" x14ac:dyDescent="0.2">
      <c r="A41" s="27" t="s">
        <v>146</v>
      </c>
      <c r="B41" s="26">
        <f>SUM(B36:B40)</f>
        <v>10825</v>
      </c>
      <c r="C41" s="26">
        <f t="shared" ref="C41:F41" si="2">SUM(C36:C40)</f>
        <v>10059</v>
      </c>
      <c r="D41" s="26">
        <f t="shared" si="2"/>
        <v>9339</v>
      </c>
      <c r="E41" s="26">
        <f t="shared" si="2"/>
        <v>4281</v>
      </c>
      <c r="F41" s="26">
        <f t="shared" si="2"/>
        <v>2978</v>
      </c>
    </row>
    <row r="42" spans="1:35" x14ac:dyDescent="0.2">
      <c r="A42" s="26"/>
      <c r="B42" s="26"/>
      <c r="C42" s="26"/>
      <c r="D42" s="26"/>
      <c r="E42" s="26"/>
      <c r="F42" s="26"/>
    </row>
    <row r="43" spans="1:35" x14ac:dyDescent="0.2">
      <c r="A43" s="238" t="s">
        <v>147</v>
      </c>
      <c r="B43" s="239"/>
      <c r="C43" s="239"/>
      <c r="D43" s="239"/>
      <c r="E43" s="239"/>
      <c r="F43" s="240"/>
    </row>
    <row r="44" spans="1:35" x14ac:dyDescent="0.2">
      <c r="A44" s="1" t="s">
        <v>148</v>
      </c>
      <c r="B44" s="1">
        <v>2024</v>
      </c>
      <c r="C44" s="1">
        <v>2023</v>
      </c>
      <c r="D44" s="1">
        <v>2022</v>
      </c>
      <c r="E44" s="1">
        <v>2021</v>
      </c>
      <c r="F44" s="1">
        <v>2020</v>
      </c>
      <c r="Q44" s="228" t="s">
        <v>328</v>
      </c>
      <c r="R44" s="228"/>
      <c r="S44" s="228"/>
      <c r="T44" s="228"/>
      <c r="U44" s="228"/>
      <c r="V44" s="228"/>
    </row>
    <row r="45" spans="1:35" ht="15" customHeight="1" x14ac:dyDescent="0.2">
      <c r="A45" s="2" t="s">
        <v>98</v>
      </c>
      <c r="B45" s="28">
        <v>12579</v>
      </c>
      <c r="C45" s="28">
        <v>6496</v>
      </c>
      <c r="D45" s="28">
        <v>6043</v>
      </c>
      <c r="E45" s="28">
        <v>3694</v>
      </c>
      <c r="F45" s="28">
        <v>1685</v>
      </c>
      <c r="M45" t="s">
        <v>149</v>
      </c>
      <c r="P45" s="59"/>
      <c r="Q45" s="228"/>
      <c r="R45" s="228"/>
      <c r="S45" s="228"/>
      <c r="T45" s="228"/>
      <c r="U45" s="228"/>
      <c r="V45" s="228"/>
      <c r="AE45" s="59"/>
      <c r="AF45" s="59"/>
      <c r="AG45" s="59"/>
      <c r="AH45" s="59"/>
      <c r="AI45" s="59"/>
    </row>
    <row r="46" spans="1:35" x14ac:dyDescent="0.2">
      <c r="A46" s="2" t="s">
        <v>150</v>
      </c>
      <c r="B46" s="28">
        <v>7054</v>
      </c>
      <c r="C46" s="28">
        <v>4651</v>
      </c>
      <c r="D46" s="28">
        <v>6201</v>
      </c>
      <c r="E46" s="28">
        <v>6887</v>
      </c>
      <c r="F46" s="28">
        <v>5189</v>
      </c>
      <c r="P46" s="59"/>
      <c r="Q46" s="228"/>
      <c r="R46" s="228"/>
      <c r="S46" s="228"/>
      <c r="T46" s="228"/>
      <c r="U46" s="228"/>
      <c r="V46" s="228"/>
      <c r="AE46" s="59"/>
      <c r="AF46" s="59"/>
      <c r="AG46" s="59"/>
      <c r="AH46" s="59"/>
      <c r="AI46" s="59"/>
    </row>
    <row r="47" spans="1:35" x14ac:dyDescent="0.2">
      <c r="A47" s="2" t="s">
        <v>99</v>
      </c>
      <c r="B47" s="28">
        <v>2595</v>
      </c>
      <c r="C47" s="28">
        <v>6212</v>
      </c>
      <c r="D47" s="28">
        <v>6805</v>
      </c>
      <c r="E47" s="28">
        <v>5607</v>
      </c>
      <c r="F47" s="28">
        <v>2746</v>
      </c>
      <c r="P47" s="59"/>
      <c r="Q47" s="228"/>
      <c r="R47" s="228"/>
      <c r="S47" s="228"/>
      <c r="T47" s="228"/>
      <c r="U47" s="228"/>
      <c r="V47" s="228"/>
      <c r="AE47" s="59"/>
      <c r="AF47" s="59"/>
      <c r="AG47" s="59"/>
      <c r="AH47" s="59"/>
      <c r="AI47" s="59"/>
    </row>
    <row r="48" spans="1:35" x14ac:dyDescent="0.2">
      <c r="A48" s="2" t="s">
        <v>38</v>
      </c>
      <c r="B48" s="28">
        <v>3557</v>
      </c>
      <c r="C48" s="28">
        <v>5321</v>
      </c>
      <c r="D48" s="28">
        <v>4552</v>
      </c>
      <c r="E48" s="28">
        <v>246</v>
      </c>
      <c r="F48" s="28">
        <v>143</v>
      </c>
      <c r="P48" s="59"/>
      <c r="Q48" s="228"/>
      <c r="R48" s="228"/>
      <c r="S48" s="228"/>
      <c r="T48" s="228"/>
      <c r="U48" s="228"/>
      <c r="V48" s="228"/>
      <c r="AE48" s="59"/>
      <c r="AF48" s="59"/>
      <c r="AG48" s="59"/>
      <c r="AH48" s="59"/>
      <c r="AI48" s="59"/>
    </row>
    <row r="49" spans="1:35" x14ac:dyDescent="0.2">
      <c r="A49" s="27" t="s">
        <v>146</v>
      </c>
      <c r="B49" s="50">
        <f>SUM(B45:B48)</f>
        <v>25785</v>
      </c>
      <c r="C49" s="50">
        <f>SUM(C45:C48)</f>
        <v>22680</v>
      </c>
      <c r="D49" s="50">
        <f>SUM(D45:D48)</f>
        <v>23601</v>
      </c>
      <c r="E49" s="50">
        <f>SUM(E45:E48)</f>
        <v>16434</v>
      </c>
      <c r="F49" s="50">
        <f>SUM(F45:F48)</f>
        <v>9763</v>
      </c>
      <c r="P49" s="59"/>
      <c r="Q49" s="228"/>
      <c r="R49" s="228"/>
      <c r="S49" s="228"/>
      <c r="T49" s="228"/>
      <c r="U49" s="228"/>
      <c r="V49" s="228"/>
      <c r="AE49" s="59"/>
      <c r="AF49" s="59"/>
      <c r="AG49" s="59"/>
      <c r="AH49" s="59"/>
      <c r="AI49" s="59"/>
    </row>
    <row r="50" spans="1:35" x14ac:dyDescent="0.2">
      <c r="P50" s="59"/>
      <c r="Q50" s="228"/>
      <c r="R50" s="228"/>
      <c r="S50" s="228"/>
      <c r="T50" s="228"/>
      <c r="U50" s="228"/>
      <c r="V50" s="228"/>
      <c r="AE50" s="59"/>
      <c r="AF50" s="59"/>
      <c r="AG50" s="59"/>
      <c r="AH50" s="59"/>
      <c r="AI50" s="59"/>
    </row>
    <row r="51" spans="1:35" x14ac:dyDescent="0.2">
      <c r="A51" s="242" t="s">
        <v>151</v>
      </c>
      <c r="B51" s="243"/>
      <c r="C51" s="243"/>
      <c r="D51" s="243"/>
      <c r="E51" s="243"/>
      <c r="F51" s="244"/>
      <c r="P51" s="59"/>
      <c r="AE51" s="59"/>
      <c r="AF51" s="59"/>
      <c r="AG51" s="59"/>
      <c r="AH51" s="59"/>
      <c r="AI51" s="59"/>
    </row>
    <row r="52" spans="1:35" x14ac:dyDescent="0.2">
      <c r="A52" s="1" t="s">
        <v>122</v>
      </c>
      <c r="B52" s="1">
        <v>2024</v>
      </c>
      <c r="C52" s="1">
        <v>2023</v>
      </c>
      <c r="D52" s="1">
        <v>2022</v>
      </c>
      <c r="E52" s="1">
        <v>2021</v>
      </c>
      <c r="F52" s="1">
        <v>2020</v>
      </c>
      <c r="P52" s="59"/>
      <c r="AE52" s="59"/>
      <c r="AF52" s="59"/>
      <c r="AG52" s="59"/>
      <c r="AH52" s="59"/>
      <c r="AI52" s="59"/>
    </row>
    <row r="53" spans="1:35" x14ac:dyDescent="0.2">
      <c r="A53" s="2" t="s">
        <v>152</v>
      </c>
      <c r="B53" s="5">
        <v>-636</v>
      </c>
      <c r="C53" s="5">
        <v>-546</v>
      </c>
      <c r="D53" s="5">
        <v>-450</v>
      </c>
      <c r="E53" s="5">
        <v>-301</v>
      </c>
      <c r="F53" s="5">
        <v>-294</v>
      </c>
      <c r="P53" s="59"/>
      <c r="Q53" s="229" t="s">
        <v>329</v>
      </c>
      <c r="R53" s="230"/>
      <c r="S53" s="230"/>
      <c r="T53" s="230"/>
      <c r="U53" s="230"/>
      <c r="V53" s="231"/>
      <c r="AE53" s="59"/>
      <c r="AF53" s="59"/>
      <c r="AG53" s="59"/>
      <c r="AH53" s="59"/>
      <c r="AI53" s="59"/>
    </row>
    <row r="54" spans="1:35" x14ac:dyDescent="0.2">
      <c r="A54" s="2" t="s">
        <v>90</v>
      </c>
      <c r="B54" s="5">
        <v>-548</v>
      </c>
      <c r="C54" s="5">
        <v>-131</v>
      </c>
      <c r="D54" s="5">
        <v>-1544</v>
      </c>
      <c r="E54" s="5">
        <v>0</v>
      </c>
      <c r="F54" s="5">
        <v>0</v>
      </c>
      <c r="P54" s="59"/>
      <c r="Q54" s="232"/>
      <c r="R54" s="233"/>
      <c r="S54" s="233"/>
      <c r="T54" s="233"/>
      <c r="U54" s="233"/>
      <c r="V54" s="234"/>
      <c r="AE54" s="59"/>
      <c r="AF54" s="59"/>
      <c r="AG54" s="59"/>
      <c r="AH54" s="59"/>
      <c r="AI54" s="59"/>
    </row>
    <row r="55" spans="1:35" x14ac:dyDescent="0.2">
      <c r="A55" s="2" t="s">
        <v>153</v>
      </c>
      <c r="B55" s="5">
        <v>0</v>
      </c>
      <c r="C55" s="5">
        <v>0</v>
      </c>
      <c r="D55" s="5">
        <v>2366</v>
      </c>
      <c r="E55" s="5">
        <v>0</v>
      </c>
      <c r="F55" s="5">
        <v>0</v>
      </c>
      <c r="P55" s="59"/>
      <c r="Q55" s="232"/>
      <c r="R55" s="233"/>
      <c r="S55" s="233"/>
      <c r="T55" s="233"/>
      <c r="U55" s="233"/>
      <c r="V55" s="234"/>
      <c r="AE55" s="59"/>
      <c r="AF55" s="59"/>
      <c r="AG55" s="59"/>
      <c r="AH55" s="59"/>
      <c r="AI55" s="59"/>
    </row>
    <row r="56" spans="1:35" x14ac:dyDescent="0.2">
      <c r="A56" s="2" t="s">
        <v>154</v>
      </c>
      <c r="B56" s="5">
        <v>-17</v>
      </c>
      <c r="C56" s="5">
        <v>0</v>
      </c>
      <c r="D56" s="5">
        <v>0</v>
      </c>
      <c r="E56" s="5">
        <v>0</v>
      </c>
      <c r="F56" s="5">
        <v>0</v>
      </c>
      <c r="P56" s="59"/>
      <c r="Q56" s="232"/>
      <c r="R56" s="233"/>
      <c r="S56" s="233"/>
      <c r="T56" s="233"/>
      <c r="U56" s="233"/>
      <c r="V56" s="234"/>
      <c r="AE56" s="59"/>
      <c r="AF56" s="59"/>
      <c r="AG56" s="59"/>
      <c r="AH56" s="59"/>
      <c r="AI56" s="59"/>
    </row>
    <row r="57" spans="1:35" x14ac:dyDescent="0.2">
      <c r="A57" s="2" t="s">
        <v>155</v>
      </c>
      <c r="B57" s="5">
        <v>-341</v>
      </c>
      <c r="C57" s="5">
        <v>-11</v>
      </c>
      <c r="D57" s="5">
        <v>-5</v>
      </c>
      <c r="E57" s="5">
        <v>0</v>
      </c>
      <c r="F57" s="5">
        <v>0</v>
      </c>
      <c r="P57" s="59"/>
      <c r="Q57" s="232"/>
      <c r="R57" s="233"/>
      <c r="S57" s="233"/>
      <c r="T57" s="233"/>
      <c r="U57" s="233"/>
      <c r="V57" s="234"/>
      <c r="AE57" s="59"/>
      <c r="AF57" s="59"/>
      <c r="AG57" s="59"/>
      <c r="AH57" s="59"/>
      <c r="AI57" s="59"/>
    </row>
    <row r="58" spans="1:35" x14ac:dyDescent="0.2">
      <c r="A58" s="2" t="s">
        <v>156</v>
      </c>
      <c r="B58" s="5">
        <v>2</v>
      </c>
      <c r="C58" s="5">
        <v>0</v>
      </c>
      <c r="D58" s="5">
        <v>-11</v>
      </c>
      <c r="E58" s="5">
        <v>-7</v>
      </c>
      <c r="F58" s="5">
        <v>0</v>
      </c>
      <c r="P58" s="59"/>
      <c r="Q58" s="232"/>
      <c r="R58" s="233"/>
      <c r="S58" s="233"/>
      <c r="T58" s="233"/>
      <c r="U58" s="233"/>
      <c r="V58" s="234"/>
      <c r="AE58" s="59"/>
      <c r="AF58" s="59"/>
      <c r="AG58" s="59"/>
      <c r="AH58" s="59"/>
      <c r="AI58" s="59"/>
    </row>
    <row r="59" spans="1:35" x14ac:dyDescent="0.2">
      <c r="A59" s="27" t="s">
        <v>157</v>
      </c>
      <c r="B59" s="26">
        <f>SUM(B53:B58)</f>
        <v>-1540</v>
      </c>
      <c r="C59" s="26">
        <f>SUM(C53:C58)</f>
        <v>-688</v>
      </c>
      <c r="D59" s="26">
        <f>SUM(D53:D58)</f>
        <v>356</v>
      </c>
      <c r="E59" s="26">
        <f>SUM(E53:E58)</f>
        <v>-308</v>
      </c>
      <c r="F59" s="26">
        <f>SUM(F53:F58)</f>
        <v>-294</v>
      </c>
      <c r="Q59" s="232"/>
      <c r="R59" s="233"/>
      <c r="S59" s="233"/>
      <c r="T59" s="233"/>
      <c r="U59" s="233"/>
      <c r="V59" s="234"/>
    </row>
    <row r="60" spans="1:35" x14ac:dyDescent="0.2">
      <c r="Q60" s="235"/>
      <c r="R60" s="236"/>
      <c r="S60" s="236"/>
      <c r="T60" s="236"/>
      <c r="U60" s="236"/>
      <c r="V60" s="237"/>
    </row>
    <row r="61" spans="1:35" x14ac:dyDescent="0.2">
      <c r="A61" s="242" t="s">
        <v>42</v>
      </c>
      <c r="B61" s="243"/>
      <c r="C61" s="243"/>
      <c r="D61" s="243"/>
      <c r="E61" s="243"/>
      <c r="F61" s="244"/>
      <c r="AE61" t="s">
        <v>149</v>
      </c>
    </row>
    <row r="62" spans="1:35" x14ac:dyDescent="0.2">
      <c r="A62" s="1" t="s">
        <v>122</v>
      </c>
      <c r="B62" s="1">
        <v>2024</v>
      </c>
      <c r="C62" s="1">
        <v>2023</v>
      </c>
      <c r="D62" s="1">
        <v>2022</v>
      </c>
      <c r="E62" s="1">
        <v>2021</v>
      </c>
      <c r="F62" s="1">
        <v>2020</v>
      </c>
    </row>
    <row r="63" spans="1:35" x14ac:dyDescent="0.2">
      <c r="A63" s="2" t="s">
        <v>84</v>
      </c>
      <c r="B63" s="5">
        <v>3041</v>
      </c>
      <c r="C63" s="5">
        <v>1667</v>
      </c>
      <c r="D63" s="5">
        <v>3565</v>
      </c>
      <c r="E63" s="5">
        <v>3521</v>
      </c>
      <c r="F63" s="5">
        <v>1071</v>
      </c>
    </row>
    <row r="64" spans="1:35" x14ac:dyDescent="0.2">
      <c r="A64" s="2" t="s">
        <v>158</v>
      </c>
      <c r="B64" s="5">
        <f>B59</f>
        <v>-1540</v>
      </c>
      <c r="C64" s="5">
        <f t="shared" ref="C64:F64" si="3">C59</f>
        <v>-688</v>
      </c>
      <c r="D64" s="5">
        <f t="shared" si="3"/>
        <v>356</v>
      </c>
      <c r="E64" s="5">
        <f t="shared" si="3"/>
        <v>-308</v>
      </c>
      <c r="F64" s="5">
        <f t="shared" si="3"/>
        <v>-294</v>
      </c>
    </row>
    <row r="65" spans="1:35" x14ac:dyDescent="0.2">
      <c r="A65" s="2" t="s">
        <v>159</v>
      </c>
      <c r="B65" s="5">
        <v>-2062</v>
      </c>
      <c r="C65" s="5">
        <v>-1146</v>
      </c>
      <c r="D65" s="5">
        <v>-3624</v>
      </c>
      <c r="E65" s="5">
        <v>-1895</v>
      </c>
      <c r="F65" s="5">
        <v>6</v>
      </c>
      <c r="Q65" s="228" t="s">
        <v>160</v>
      </c>
      <c r="R65" s="228"/>
      <c r="S65" s="228"/>
      <c r="T65" s="228"/>
      <c r="U65" s="228"/>
      <c r="V65" s="228"/>
    </row>
    <row r="66" spans="1:35" ht="15" customHeight="1" x14ac:dyDescent="0.2">
      <c r="A66" s="27" t="s">
        <v>161</v>
      </c>
      <c r="B66" s="26">
        <f>B63-ABS(B64)</f>
        <v>1501</v>
      </c>
      <c r="C66" s="26">
        <f t="shared" ref="C66:F66" si="4">C63-ABS(C64)</f>
        <v>979</v>
      </c>
      <c r="D66" s="26">
        <f t="shared" si="4"/>
        <v>3209</v>
      </c>
      <c r="E66" s="26">
        <f t="shared" si="4"/>
        <v>3213</v>
      </c>
      <c r="F66" s="26">
        <f t="shared" si="4"/>
        <v>777</v>
      </c>
      <c r="P66" s="59"/>
      <c r="Q66" s="228"/>
      <c r="R66" s="228"/>
      <c r="S66" s="228"/>
      <c r="T66" s="228"/>
      <c r="U66" s="228"/>
      <c r="V66" s="228"/>
      <c r="AE66" s="59"/>
      <c r="AF66" s="59"/>
      <c r="AG66" s="59"/>
      <c r="AH66" s="59"/>
      <c r="AI66" s="59"/>
    </row>
    <row r="67" spans="1:35" x14ac:dyDescent="0.2">
      <c r="P67" s="59"/>
      <c r="Q67" s="228"/>
      <c r="R67" s="228"/>
      <c r="S67" s="228"/>
      <c r="T67" s="228"/>
      <c r="U67" s="228"/>
      <c r="V67" s="228"/>
      <c r="AE67" s="59"/>
      <c r="AF67" s="59"/>
      <c r="AG67" s="59"/>
      <c r="AH67" s="59"/>
      <c r="AI67" s="59"/>
    </row>
    <row r="68" spans="1:35" x14ac:dyDescent="0.2">
      <c r="A68" s="242" t="s">
        <v>162</v>
      </c>
      <c r="B68" s="243"/>
      <c r="C68" s="243"/>
      <c r="D68" s="243"/>
      <c r="E68" s="243"/>
      <c r="F68" s="244"/>
      <c r="P68" s="59"/>
      <c r="Q68" s="228"/>
      <c r="R68" s="228"/>
      <c r="S68" s="228"/>
      <c r="T68" s="228"/>
      <c r="U68" s="228"/>
      <c r="V68" s="228"/>
      <c r="AE68" s="59"/>
      <c r="AF68" s="59"/>
      <c r="AG68" s="59"/>
      <c r="AH68" s="59"/>
      <c r="AI68" s="59"/>
    </row>
    <row r="69" spans="1:35" x14ac:dyDescent="0.2">
      <c r="A69" s="1" t="s">
        <v>163</v>
      </c>
      <c r="B69" s="1">
        <v>2024</v>
      </c>
      <c r="C69" s="1">
        <v>2023</v>
      </c>
      <c r="D69" s="1">
        <v>2022</v>
      </c>
      <c r="E69" s="1">
        <v>2021</v>
      </c>
      <c r="F69" s="1">
        <v>2020</v>
      </c>
      <c r="P69" s="59"/>
      <c r="Q69" s="228"/>
      <c r="R69" s="228"/>
      <c r="S69" s="228"/>
      <c r="T69" s="228"/>
      <c r="U69" s="228"/>
      <c r="V69" s="228"/>
      <c r="AE69" s="59"/>
      <c r="AF69" s="59"/>
      <c r="AG69" s="59"/>
      <c r="AH69" s="59"/>
      <c r="AI69" s="59"/>
    </row>
    <row r="70" spans="1:35" x14ac:dyDescent="0.2">
      <c r="A70" s="2" t="s">
        <v>164</v>
      </c>
      <c r="B70" s="69">
        <f>B8/B6</f>
        <v>0.49350397517936784</v>
      </c>
      <c r="C70" s="69">
        <f>C8/C6</f>
        <v>0.46119929453262787</v>
      </c>
      <c r="D70" s="69">
        <f>D8/D6</f>
        <v>0.4492606245498072</v>
      </c>
      <c r="E70" s="69">
        <f>E8/E6</f>
        <v>0.48247535596933189</v>
      </c>
      <c r="F70" s="69">
        <f>F8/F6</f>
        <v>0.44525248386766364</v>
      </c>
      <c r="P70" s="59"/>
      <c r="Q70" s="228"/>
      <c r="R70" s="228"/>
      <c r="S70" s="228"/>
      <c r="T70" s="228"/>
      <c r="U70" s="228"/>
      <c r="V70" s="228"/>
      <c r="AE70" s="59"/>
      <c r="AF70" s="59"/>
      <c r="AG70" s="59"/>
      <c r="AH70" s="59"/>
      <c r="AI70" s="59"/>
    </row>
    <row r="71" spans="1:35" x14ac:dyDescent="0.2">
      <c r="A71" s="2" t="s">
        <v>165</v>
      </c>
      <c r="B71" s="69">
        <f>B10/B6</f>
        <v>7.3686251696722896E-2</v>
      </c>
      <c r="C71" s="69">
        <f>C10/C6</f>
        <v>1.7680776014109348E-2</v>
      </c>
      <c r="D71" s="69">
        <f>D10/D6</f>
        <v>5.3557052667259859E-2</v>
      </c>
      <c r="E71" s="69">
        <f>E10/E6</f>
        <v>0.22197882438846295</v>
      </c>
      <c r="F71" s="69">
        <f>F10/F6</f>
        <v>0.14022329202089523</v>
      </c>
      <c r="P71" s="59"/>
      <c r="Q71" s="228"/>
      <c r="R71" s="228"/>
      <c r="S71" s="228"/>
      <c r="T71" s="228"/>
      <c r="U71" s="228"/>
      <c r="V71" s="228"/>
      <c r="AE71" s="59"/>
      <c r="AF71" s="59"/>
      <c r="AG71" s="59"/>
      <c r="AH71" s="59"/>
      <c r="AI71" s="59"/>
    </row>
    <row r="72" spans="1:35" x14ac:dyDescent="0.2">
      <c r="A72" s="2" t="s">
        <v>166</v>
      </c>
      <c r="B72" s="69">
        <f>B13/B6</f>
        <v>6.3641652123327522E-2</v>
      </c>
      <c r="C72" s="69">
        <f>C13/C6</f>
        <v>3.7654320987654324E-2</v>
      </c>
      <c r="D72" s="69">
        <f>D13/D6</f>
        <v>5.5929833481632135E-2</v>
      </c>
      <c r="E72" s="69">
        <f>E13/E6</f>
        <v>0.19240598758671049</v>
      </c>
      <c r="F72" s="69">
        <f>F13/F6</f>
        <v>0.25504455597664655</v>
      </c>
      <c r="P72" s="59"/>
      <c r="Q72" s="228"/>
      <c r="R72" s="228"/>
      <c r="S72" s="228"/>
      <c r="T72" s="228"/>
      <c r="U72" s="228"/>
      <c r="V72" s="228"/>
      <c r="AE72" s="59"/>
      <c r="AF72" s="59"/>
      <c r="AG72" s="59"/>
      <c r="AH72" s="59"/>
      <c r="AI72" s="59"/>
    </row>
    <row r="73" spans="1:35" x14ac:dyDescent="0.2">
      <c r="P73" s="59"/>
      <c r="AE73" s="59"/>
      <c r="AF73" s="59"/>
      <c r="AG73" s="59"/>
      <c r="AH73" s="59"/>
      <c r="AI73" s="59"/>
    </row>
    <row r="74" spans="1:35" x14ac:dyDescent="0.2">
      <c r="A74" s="238" t="s">
        <v>167</v>
      </c>
      <c r="B74" s="239"/>
      <c r="C74" s="239"/>
      <c r="D74" s="239"/>
      <c r="E74" s="239"/>
      <c r="F74" s="240"/>
      <c r="P74" s="59"/>
      <c r="AE74" s="59"/>
      <c r="AF74" s="59"/>
      <c r="AG74" s="59"/>
      <c r="AH74" s="59"/>
      <c r="AI74" s="59"/>
    </row>
    <row r="75" spans="1:35" x14ac:dyDescent="0.2">
      <c r="A75" s="1" t="s">
        <v>168</v>
      </c>
      <c r="B75" s="1">
        <v>2024</v>
      </c>
      <c r="C75" s="1">
        <v>2023</v>
      </c>
      <c r="D75" s="1">
        <v>2022</v>
      </c>
      <c r="E75" s="1">
        <v>2021</v>
      </c>
      <c r="F75" s="1">
        <v>2020</v>
      </c>
      <c r="P75" s="59"/>
      <c r="Q75" s="228" t="s">
        <v>169</v>
      </c>
      <c r="R75" s="228"/>
      <c r="S75" s="228"/>
      <c r="T75" s="228"/>
      <c r="U75" s="228"/>
      <c r="V75" s="228"/>
      <c r="AE75" s="59"/>
      <c r="AF75" s="59"/>
      <c r="AG75" s="59"/>
      <c r="AH75" s="59"/>
      <c r="AI75" s="59"/>
    </row>
    <row r="76" spans="1:35" x14ac:dyDescent="0.2">
      <c r="A76" s="2" t="s">
        <v>110</v>
      </c>
      <c r="B76" s="28">
        <v>8693</v>
      </c>
      <c r="C76" s="28">
        <v>7837</v>
      </c>
      <c r="D76" s="28">
        <v>8049</v>
      </c>
      <c r="E76" s="28">
        <v>4656</v>
      </c>
      <c r="F76" s="28">
        <v>2294</v>
      </c>
      <c r="P76" s="59"/>
      <c r="Q76" s="228"/>
      <c r="R76" s="228"/>
      <c r="S76" s="228"/>
      <c r="T76" s="228"/>
      <c r="U76" s="228"/>
      <c r="V76" s="228"/>
      <c r="AE76" s="59"/>
      <c r="AF76" s="59"/>
      <c r="AG76" s="59"/>
      <c r="AH76" s="59"/>
      <c r="AI76" s="59"/>
    </row>
    <row r="77" spans="1:35" x14ac:dyDescent="0.2">
      <c r="A77" s="2" t="s">
        <v>112</v>
      </c>
      <c r="B77" s="28">
        <v>6231</v>
      </c>
      <c r="C77" s="28">
        <v>3417</v>
      </c>
      <c r="D77" s="28">
        <v>5207</v>
      </c>
      <c r="E77" s="28">
        <v>4096</v>
      </c>
      <c r="F77" s="28">
        <v>2329</v>
      </c>
      <c r="P77" s="59"/>
      <c r="Q77" s="228"/>
      <c r="R77" s="228"/>
      <c r="S77" s="228"/>
      <c r="T77" s="228"/>
      <c r="U77" s="228"/>
      <c r="V77" s="228"/>
      <c r="AE77" s="59"/>
      <c r="AF77" s="59"/>
      <c r="AG77" s="59"/>
      <c r="AH77" s="59"/>
      <c r="AI77" s="59"/>
    </row>
    <row r="78" spans="1:35" x14ac:dyDescent="0.2">
      <c r="A78" s="2" t="s">
        <v>170</v>
      </c>
      <c r="B78" s="28">
        <v>3614</v>
      </c>
      <c r="C78" s="28">
        <v>2231</v>
      </c>
      <c r="D78" s="28">
        <v>21</v>
      </c>
      <c r="E78" s="28">
        <v>1389</v>
      </c>
      <c r="F78" s="28">
        <v>1096</v>
      </c>
      <c r="Q78" s="228"/>
      <c r="R78" s="228"/>
      <c r="S78" s="228"/>
      <c r="T78" s="228"/>
      <c r="U78" s="228"/>
      <c r="V78" s="228"/>
    </row>
    <row r="79" spans="1:35" x14ac:dyDescent="0.2">
      <c r="A79" s="2" t="s">
        <v>111</v>
      </c>
      <c r="B79" s="28">
        <v>3301</v>
      </c>
      <c r="C79" s="28">
        <v>1841</v>
      </c>
      <c r="D79" s="28">
        <v>2369</v>
      </c>
      <c r="E79" s="28">
        <v>2091</v>
      </c>
      <c r="F79" s="28">
        <v>1187</v>
      </c>
      <c r="Q79" s="228"/>
      <c r="R79" s="228"/>
      <c r="S79" s="228"/>
      <c r="T79" s="228"/>
      <c r="U79" s="228"/>
      <c r="V79" s="228"/>
    </row>
    <row r="80" spans="1:35" x14ac:dyDescent="0.2">
      <c r="A80" s="2" t="s">
        <v>171</v>
      </c>
      <c r="B80" s="28">
        <v>1767</v>
      </c>
      <c r="C80" s="28">
        <v>4629</v>
      </c>
      <c r="D80" s="28">
        <v>4177</v>
      </c>
      <c r="E80" s="28">
        <v>2381</v>
      </c>
      <c r="F80" s="28">
        <v>1033</v>
      </c>
      <c r="Q80" s="228"/>
      <c r="R80" s="228"/>
      <c r="S80" s="228"/>
      <c r="T80" s="228"/>
      <c r="U80" s="228"/>
      <c r="V80" s="228"/>
    </row>
    <row r="81" spans="1:37" x14ac:dyDescent="0.2">
      <c r="A81" s="2" t="s">
        <v>172</v>
      </c>
      <c r="B81" s="28">
        <v>1625</v>
      </c>
      <c r="C81" s="28">
        <v>2030</v>
      </c>
      <c r="D81" s="28">
        <v>1773</v>
      </c>
      <c r="E81" s="28">
        <v>1249</v>
      </c>
      <c r="F81" s="28">
        <v>1108</v>
      </c>
      <c r="Q81" s="228"/>
      <c r="R81" s="228"/>
      <c r="S81" s="228"/>
      <c r="T81" s="228"/>
      <c r="U81" s="228"/>
      <c r="V81" s="228"/>
    </row>
    <row r="82" spans="1:37" x14ac:dyDescent="0.2">
      <c r="A82" s="2" t="s">
        <v>173</v>
      </c>
      <c r="B82" s="28">
        <v>554</v>
      </c>
      <c r="C82" s="28">
        <v>695</v>
      </c>
      <c r="D82" s="28">
        <v>646</v>
      </c>
      <c r="E82" s="28">
        <v>572</v>
      </c>
      <c r="F82" s="28">
        <v>716</v>
      </c>
      <c r="Q82" s="228"/>
      <c r="R82" s="228"/>
      <c r="S82" s="228"/>
      <c r="T82" s="228"/>
      <c r="U82" s="228"/>
      <c r="V82" s="228"/>
    </row>
    <row r="83" spans="1:37" x14ac:dyDescent="0.2">
      <c r="A83" s="27" t="s">
        <v>146</v>
      </c>
      <c r="B83" s="50">
        <f>SUM(B76:B82)</f>
        <v>25785</v>
      </c>
      <c r="C83" s="50">
        <f>SUM(C76:C82)</f>
        <v>22680</v>
      </c>
      <c r="D83" s="50">
        <f>SUM(D76:D82)</f>
        <v>22242</v>
      </c>
      <c r="E83" s="50">
        <f>SUM(E76:E82)</f>
        <v>16434</v>
      </c>
      <c r="F83" s="50">
        <f>SUM(F76:F82)</f>
        <v>9763</v>
      </c>
    </row>
    <row r="87" spans="1:37" ht="15" customHeight="1" x14ac:dyDescent="0.2">
      <c r="Q87" s="228" t="s">
        <v>331</v>
      </c>
      <c r="R87" s="228"/>
      <c r="S87" s="228"/>
      <c r="T87" s="228"/>
      <c r="U87" s="228"/>
      <c r="V87" s="228"/>
    </row>
    <row r="88" spans="1:37" ht="15" customHeight="1" x14ac:dyDescent="0.2">
      <c r="P88" s="59"/>
      <c r="Q88" s="228"/>
      <c r="R88" s="228"/>
      <c r="S88" s="228"/>
      <c r="T88" s="228"/>
      <c r="U88" s="228"/>
      <c r="V88" s="228"/>
      <c r="AG88" s="60"/>
      <c r="AH88" s="60"/>
      <c r="AI88" s="60"/>
      <c r="AJ88" s="60"/>
      <c r="AK88" s="60"/>
    </row>
    <row r="89" spans="1:37" x14ac:dyDescent="0.2">
      <c r="P89" s="59"/>
      <c r="Q89" s="228"/>
      <c r="R89" s="228"/>
      <c r="S89" s="228"/>
      <c r="T89" s="228"/>
      <c r="U89" s="228"/>
      <c r="V89" s="228"/>
      <c r="AG89" s="60"/>
      <c r="AH89" s="60"/>
      <c r="AI89" s="60"/>
      <c r="AJ89" s="60"/>
      <c r="AK89" s="60"/>
    </row>
    <row r="90" spans="1:37" x14ac:dyDescent="0.2">
      <c r="P90" s="59"/>
      <c r="Q90" s="228"/>
      <c r="R90" s="228"/>
      <c r="S90" s="228"/>
      <c r="T90" s="228"/>
      <c r="U90" s="228"/>
      <c r="V90" s="228"/>
      <c r="AG90" s="60"/>
      <c r="AH90" s="60"/>
      <c r="AI90" s="60"/>
      <c r="AJ90" s="60"/>
      <c r="AK90" s="60"/>
    </row>
    <row r="91" spans="1:37" x14ac:dyDescent="0.2">
      <c r="P91" s="59"/>
      <c r="Q91" s="228"/>
      <c r="R91" s="228"/>
      <c r="S91" s="228"/>
      <c r="T91" s="228"/>
      <c r="U91" s="228"/>
      <c r="V91" s="228"/>
      <c r="AG91" s="60"/>
      <c r="AH91" s="60"/>
      <c r="AI91" s="60"/>
      <c r="AJ91" s="60"/>
      <c r="AK91" s="60"/>
    </row>
    <row r="92" spans="1:37" x14ac:dyDescent="0.2">
      <c r="P92" s="59"/>
      <c r="Q92" s="228"/>
      <c r="R92" s="228"/>
      <c r="S92" s="228"/>
      <c r="T92" s="228"/>
      <c r="U92" s="228"/>
      <c r="V92" s="228"/>
      <c r="AG92" s="60"/>
      <c r="AH92" s="60"/>
      <c r="AI92" s="60"/>
      <c r="AJ92" s="60"/>
      <c r="AK92" s="60"/>
    </row>
    <row r="93" spans="1:37" x14ac:dyDescent="0.2">
      <c r="P93" s="59"/>
      <c r="Q93" s="228"/>
      <c r="R93" s="228"/>
      <c r="S93" s="228"/>
      <c r="T93" s="228"/>
      <c r="U93" s="228"/>
      <c r="V93" s="228"/>
      <c r="AG93" s="60"/>
      <c r="AH93" s="60"/>
      <c r="AI93" s="60"/>
      <c r="AJ93" s="60"/>
      <c r="AK93" s="60"/>
    </row>
    <row r="94" spans="1:37" x14ac:dyDescent="0.2">
      <c r="P94" s="59"/>
      <c r="Q94" s="228"/>
      <c r="R94" s="228"/>
      <c r="S94" s="228"/>
      <c r="T94" s="228"/>
      <c r="U94" s="228"/>
      <c r="V94" s="228"/>
      <c r="AG94" s="60"/>
      <c r="AH94" s="60"/>
      <c r="AI94" s="60"/>
      <c r="AJ94" s="60"/>
      <c r="AK94" s="60"/>
    </row>
    <row r="95" spans="1:37" x14ac:dyDescent="0.2">
      <c r="P95" s="59"/>
      <c r="Q95" s="228"/>
      <c r="R95" s="228"/>
      <c r="S95" s="228"/>
      <c r="T95" s="228"/>
      <c r="U95" s="228"/>
      <c r="V95" s="228"/>
      <c r="AG95" s="60"/>
      <c r="AH95" s="60"/>
      <c r="AI95" s="60"/>
      <c r="AJ95" s="60"/>
      <c r="AK95" s="60"/>
    </row>
    <row r="96" spans="1:37" x14ac:dyDescent="0.2">
      <c r="P96" s="59"/>
      <c r="Q96" s="228"/>
      <c r="R96" s="228"/>
      <c r="S96" s="228"/>
      <c r="T96" s="228"/>
      <c r="U96" s="228"/>
      <c r="V96" s="228"/>
      <c r="AG96" s="60"/>
      <c r="AH96" s="60"/>
      <c r="AI96" s="60"/>
      <c r="AJ96" s="60"/>
      <c r="AK96" s="60"/>
    </row>
    <row r="97" spans="16:37" x14ac:dyDescent="0.2">
      <c r="P97" s="59"/>
      <c r="Q97" s="228"/>
      <c r="R97" s="228"/>
      <c r="S97" s="228"/>
      <c r="T97" s="228"/>
      <c r="U97" s="228"/>
      <c r="V97" s="228"/>
      <c r="AG97" s="60"/>
      <c r="AH97" s="60"/>
      <c r="AI97" s="60"/>
      <c r="AJ97" s="60"/>
      <c r="AK97" s="60"/>
    </row>
    <row r="98" spans="16:37" x14ac:dyDescent="0.2">
      <c r="P98" s="59"/>
      <c r="AG98" s="60"/>
      <c r="AH98" s="60"/>
      <c r="AI98" s="60"/>
      <c r="AJ98" s="60"/>
      <c r="AK98" s="60"/>
    </row>
    <row r="99" spans="16:37" x14ac:dyDescent="0.2">
      <c r="P99" s="59"/>
      <c r="AG99" s="60"/>
      <c r="AH99" s="60"/>
      <c r="AI99" s="60"/>
      <c r="AJ99" s="60"/>
      <c r="AK99" s="60"/>
    </row>
    <row r="100" spans="16:37" ht="15" customHeight="1" x14ac:dyDescent="0.2">
      <c r="P100" s="59"/>
      <c r="Q100" s="228" t="s">
        <v>330</v>
      </c>
      <c r="R100" s="228"/>
      <c r="S100" s="228"/>
      <c r="T100" s="228"/>
      <c r="U100" s="228"/>
      <c r="V100" s="228"/>
      <c r="AG100" s="60"/>
      <c r="AH100" s="60"/>
      <c r="AI100" s="60"/>
      <c r="AJ100" s="60"/>
      <c r="AK100" s="60"/>
    </row>
    <row r="101" spans="16:37" x14ac:dyDescent="0.2">
      <c r="P101" s="59"/>
      <c r="Q101" s="228"/>
      <c r="R101" s="228"/>
      <c r="S101" s="228"/>
      <c r="T101" s="228"/>
      <c r="U101" s="228"/>
      <c r="V101" s="228"/>
      <c r="AG101" s="60"/>
      <c r="AH101" s="60"/>
      <c r="AI101" s="60"/>
      <c r="AJ101" s="60"/>
      <c r="AK101" s="60"/>
    </row>
    <row r="102" spans="16:37" x14ac:dyDescent="0.2">
      <c r="P102" s="59"/>
      <c r="Q102" s="228"/>
      <c r="R102" s="228"/>
      <c r="S102" s="228"/>
      <c r="T102" s="228"/>
      <c r="U102" s="228"/>
      <c r="V102" s="228"/>
      <c r="AG102" s="60"/>
      <c r="AH102" s="60"/>
      <c r="AI102" s="60"/>
      <c r="AJ102" s="60"/>
      <c r="AK102" s="60"/>
    </row>
    <row r="103" spans="16:37" x14ac:dyDescent="0.2">
      <c r="Q103" s="228"/>
      <c r="R103" s="228"/>
      <c r="S103" s="228"/>
      <c r="T103" s="228"/>
      <c r="U103" s="228"/>
      <c r="V103" s="228"/>
      <c r="AG103" s="60"/>
      <c r="AH103" s="60"/>
      <c r="AI103" s="60"/>
      <c r="AJ103" s="60"/>
      <c r="AK103" s="60"/>
    </row>
    <row r="104" spans="16:37" x14ac:dyDescent="0.2">
      <c r="Q104" s="228"/>
      <c r="R104" s="228"/>
      <c r="S104" s="228"/>
      <c r="T104" s="228"/>
      <c r="U104" s="228"/>
      <c r="V104" s="228"/>
      <c r="AG104" s="60"/>
      <c r="AH104" s="60"/>
      <c r="AI104" s="60"/>
      <c r="AJ104" s="60"/>
      <c r="AK104" s="60"/>
    </row>
    <row r="105" spans="16:37" x14ac:dyDescent="0.2">
      <c r="Q105" s="228"/>
      <c r="R105" s="228"/>
      <c r="S105" s="228"/>
      <c r="T105" s="228"/>
      <c r="U105" s="228"/>
      <c r="V105" s="228"/>
    </row>
    <row r="106" spans="16:37" x14ac:dyDescent="0.2">
      <c r="Q106" s="228"/>
      <c r="R106" s="228"/>
      <c r="S106" s="228"/>
      <c r="T106" s="228"/>
      <c r="U106" s="228"/>
      <c r="V106" s="228"/>
    </row>
    <row r="107" spans="16:37" x14ac:dyDescent="0.2">
      <c r="Q107" s="228"/>
      <c r="R107" s="228"/>
      <c r="S107" s="228"/>
      <c r="T107" s="228"/>
      <c r="U107" s="228"/>
      <c r="V107" s="228"/>
    </row>
    <row r="108" spans="16:37" x14ac:dyDescent="0.2">
      <c r="Q108" s="228"/>
      <c r="R108" s="228"/>
      <c r="S108" s="228"/>
      <c r="T108" s="228"/>
      <c r="U108" s="228"/>
      <c r="V108" s="228"/>
    </row>
    <row r="109" spans="16:37" x14ac:dyDescent="0.2">
      <c r="Q109" s="228"/>
      <c r="R109" s="228"/>
      <c r="S109" s="228"/>
      <c r="T109" s="228"/>
      <c r="U109" s="228"/>
      <c r="V109" s="228"/>
    </row>
    <row r="110" spans="16:37" x14ac:dyDescent="0.2">
      <c r="Q110" s="228"/>
      <c r="R110" s="228"/>
      <c r="S110" s="228"/>
      <c r="T110" s="228"/>
      <c r="U110" s="228"/>
      <c r="V110" s="228"/>
    </row>
    <row r="111" spans="16:37" x14ac:dyDescent="0.2">
      <c r="Q111" s="228"/>
      <c r="R111" s="228"/>
      <c r="S111" s="228"/>
      <c r="T111" s="228"/>
      <c r="U111" s="228"/>
      <c r="V111" s="228"/>
    </row>
    <row r="112" spans="16:37" x14ac:dyDescent="0.2">
      <c r="Q112" s="228"/>
      <c r="R112" s="228"/>
      <c r="S112" s="228"/>
      <c r="T112" s="228"/>
      <c r="U112" s="228"/>
      <c r="V112" s="228"/>
    </row>
    <row r="113" spans="17:22" x14ac:dyDescent="0.2">
      <c r="Q113" s="228"/>
      <c r="R113" s="228"/>
      <c r="S113" s="228"/>
      <c r="T113" s="228"/>
      <c r="U113" s="228"/>
      <c r="V113" s="228"/>
    </row>
    <row r="114" spans="17:22" x14ac:dyDescent="0.2">
      <c r="Q114" s="228"/>
      <c r="R114" s="228"/>
      <c r="S114" s="228"/>
      <c r="T114" s="228"/>
      <c r="U114" s="228"/>
      <c r="V114" s="228"/>
    </row>
  </sheetData>
  <mergeCells count="20">
    <mergeCell ref="A74:F74"/>
    <mergeCell ref="A3:F3"/>
    <mergeCell ref="A34:F34"/>
    <mergeCell ref="A51:F51"/>
    <mergeCell ref="A68:F68"/>
    <mergeCell ref="A61:F61"/>
    <mergeCell ref="A43:F43"/>
    <mergeCell ref="A16:F16"/>
    <mergeCell ref="A25:F25"/>
    <mergeCell ref="Q53:V60"/>
    <mergeCell ref="Q65:V72"/>
    <mergeCell ref="A1:AD1"/>
    <mergeCell ref="Q75:V82"/>
    <mergeCell ref="Q87:V97"/>
    <mergeCell ref="Q100:V114"/>
    <mergeCell ref="Q4:V10"/>
    <mergeCell ref="Q12:V19"/>
    <mergeCell ref="Q23:V30"/>
    <mergeCell ref="Q33:V40"/>
    <mergeCell ref="Q44:V50"/>
  </mergeCells>
  <phoneticPr fontId="26"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124B-BE5F-48BA-B41C-A1BFA50386C5}">
  <dimension ref="A1:P78"/>
  <sheetViews>
    <sheetView topLeftCell="D1" zoomScale="106" workbookViewId="0">
      <selection activeCell="P1" sqref="P1"/>
    </sheetView>
  </sheetViews>
  <sheetFormatPr baseColWidth="10" defaultColWidth="8.6640625" defaultRowHeight="15" x14ac:dyDescent="0.2"/>
  <cols>
    <col min="1" max="1" width="76.5" customWidth="1"/>
    <col min="2" max="2" width="14" customWidth="1"/>
    <col min="3" max="3" width="13.83203125" customWidth="1"/>
    <col min="4" max="4" width="14.1640625" customWidth="1"/>
    <col min="5" max="5" width="13.5" customWidth="1"/>
    <col min="6" max="6" width="13.6640625" customWidth="1"/>
  </cols>
  <sheetData>
    <row r="1" spans="1:16" ht="24" x14ac:dyDescent="0.3">
      <c r="A1" s="249" t="s">
        <v>46</v>
      </c>
      <c r="B1" s="250"/>
      <c r="C1" s="250"/>
      <c r="D1" s="250"/>
      <c r="E1" s="250"/>
      <c r="F1" s="250"/>
      <c r="G1" s="250"/>
      <c r="H1" s="250"/>
      <c r="I1" s="250"/>
      <c r="J1" s="250"/>
      <c r="K1" s="250"/>
      <c r="L1" s="250"/>
      <c r="M1" s="250"/>
      <c r="N1" s="250"/>
      <c r="O1" s="250"/>
      <c r="P1" t="s">
        <v>334</v>
      </c>
    </row>
    <row r="2" spans="1:16" ht="24" x14ac:dyDescent="0.3">
      <c r="A2" s="254" t="s">
        <v>174</v>
      </c>
      <c r="B2" s="255"/>
      <c r="C2" s="255"/>
      <c r="D2" s="255"/>
      <c r="E2" s="255"/>
      <c r="F2" s="256"/>
      <c r="G2" s="100"/>
      <c r="H2" s="100"/>
      <c r="I2" s="100"/>
      <c r="J2" s="100"/>
      <c r="K2" s="100"/>
      <c r="L2" s="100"/>
      <c r="M2" s="100"/>
      <c r="N2" s="100"/>
      <c r="O2" s="100"/>
    </row>
    <row r="3" spans="1:16" ht="17" customHeight="1" x14ac:dyDescent="0.2">
      <c r="A3" s="101" t="s">
        <v>58</v>
      </c>
      <c r="B3" s="183" t="s">
        <v>175</v>
      </c>
      <c r="C3" s="183" t="s">
        <v>176</v>
      </c>
      <c r="D3" s="183" t="s">
        <v>177</v>
      </c>
      <c r="E3" s="183" t="s">
        <v>178</v>
      </c>
      <c r="F3" s="183" t="s">
        <v>179</v>
      </c>
    </row>
    <row r="4" spans="1:16" x14ac:dyDescent="0.2">
      <c r="A4" s="101" t="s">
        <v>180</v>
      </c>
      <c r="B4" s="101">
        <v>2024</v>
      </c>
      <c r="C4" s="101">
        <v>2023</v>
      </c>
      <c r="D4" s="101">
        <v>2022</v>
      </c>
      <c r="E4" s="101">
        <v>2021</v>
      </c>
      <c r="F4" s="101">
        <v>2020</v>
      </c>
    </row>
    <row r="5" spans="1:16" x14ac:dyDescent="0.2">
      <c r="A5" s="29" t="s">
        <v>181</v>
      </c>
      <c r="B5" s="33">
        <v>38962</v>
      </c>
      <c r="C5" s="33">
        <v>35820</v>
      </c>
      <c r="D5" s="33">
        <v>44200</v>
      </c>
      <c r="E5" s="33">
        <v>33566</v>
      </c>
      <c r="F5" s="33">
        <v>23531</v>
      </c>
      <c r="G5" s="30"/>
    </row>
    <row r="6" spans="1:16" x14ac:dyDescent="0.2">
      <c r="A6" s="29" t="s">
        <v>182</v>
      </c>
      <c r="B6" s="33">
        <v>17060</v>
      </c>
      <c r="C6" s="33">
        <v>15869</v>
      </c>
      <c r="D6" s="33">
        <v>18635</v>
      </c>
      <c r="E6" s="33">
        <v>14262</v>
      </c>
      <c r="F6" s="33">
        <v>9255</v>
      </c>
      <c r="G6" s="30"/>
    </row>
    <row r="7" spans="1:16" x14ac:dyDescent="0.2">
      <c r="A7" s="29" t="s">
        <v>66</v>
      </c>
      <c r="B7" s="33">
        <v>21902</v>
      </c>
      <c r="C7" s="33">
        <v>19951</v>
      </c>
      <c r="D7" s="33">
        <v>25565</v>
      </c>
      <c r="E7" s="33">
        <v>19304</v>
      </c>
      <c r="F7" s="33">
        <v>14276</v>
      </c>
      <c r="G7" s="30"/>
    </row>
    <row r="8" spans="1:16" x14ac:dyDescent="0.2">
      <c r="A8" s="29" t="s">
        <v>54</v>
      </c>
      <c r="B8" s="33">
        <f>B34</f>
        <v>13358</v>
      </c>
      <c r="C8" s="33">
        <f t="shared" ref="C8:F8" si="0">C34</f>
        <v>13110</v>
      </c>
      <c r="D8" s="33">
        <f t="shared" si="0"/>
        <v>12526</v>
      </c>
      <c r="E8" s="33">
        <f t="shared" si="0"/>
        <v>11097</v>
      </c>
      <c r="F8" s="33">
        <f t="shared" si="0"/>
        <v>9442</v>
      </c>
      <c r="G8" s="30"/>
    </row>
    <row r="9" spans="1:16" x14ac:dyDescent="0.2">
      <c r="A9" s="29" t="s">
        <v>183</v>
      </c>
      <c r="B9" s="33">
        <f>SUM(B7,-B8)</f>
        <v>8544</v>
      </c>
      <c r="C9" s="33">
        <f>SUM(C7,-C8)</f>
        <v>6841</v>
      </c>
      <c r="D9" s="33">
        <f>SUM(D7,-D8)</f>
        <v>13039</v>
      </c>
      <c r="E9" s="33">
        <f>SUM(E7,-E8)</f>
        <v>8207</v>
      </c>
      <c r="F9" s="33">
        <f>SUM(F7,-F8)</f>
        <v>4834</v>
      </c>
      <c r="G9" s="30"/>
    </row>
    <row r="10" spans="1:16" x14ac:dyDescent="0.2">
      <c r="A10" s="29" t="s">
        <v>49</v>
      </c>
      <c r="B10" s="102">
        <f>B9/B5</f>
        <v>0.21929059083209282</v>
      </c>
      <c r="C10" s="102">
        <f>C9/C5</f>
        <v>0.19098269123394751</v>
      </c>
      <c r="D10" s="102">
        <f>D9/D5</f>
        <v>0.29499999999999998</v>
      </c>
      <c r="E10" s="102">
        <f>E9/E5</f>
        <v>0.24450336650181731</v>
      </c>
      <c r="F10" s="102">
        <f>F9/F5</f>
        <v>0.20543113339849561</v>
      </c>
      <c r="G10" s="31"/>
    </row>
    <row r="11" spans="1:16" x14ac:dyDescent="0.2">
      <c r="A11" s="29" t="s">
        <v>184</v>
      </c>
      <c r="B11" s="34">
        <v>962</v>
      </c>
      <c r="C11" s="34">
        <v>349</v>
      </c>
      <c r="D11" s="103" t="s">
        <v>185</v>
      </c>
      <c r="E11" s="33">
        <v>1044</v>
      </c>
      <c r="F11" s="103" t="s">
        <v>186</v>
      </c>
      <c r="G11" s="32"/>
    </row>
    <row r="12" spans="1:16" x14ac:dyDescent="0.2">
      <c r="A12" s="29" t="s">
        <v>128</v>
      </c>
      <c r="B12" s="103" t="s">
        <v>187</v>
      </c>
      <c r="C12" s="103" t="s">
        <v>188</v>
      </c>
      <c r="D12" s="103" t="s">
        <v>189</v>
      </c>
      <c r="E12" s="103" t="s">
        <v>190</v>
      </c>
      <c r="F12" s="103" t="s">
        <v>191</v>
      </c>
      <c r="G12" s="32"/>
    </row>
    <row r="13" spans="1:16" x14ac:dyDescent="0.2">
      <c r="A13" s="29" t="s">
        <v>71</v>
      </c>
      <c r="B13" s="33">
        <v>10142</v>
      </c>
      <c r="C13" s="33">
        <v>7232</v>
      </c>
      <c r="D13" s="33">
        <v>12936</v>
      </c>
      <c r="E13" s="33">
        <v>9043</v>
      </c>
      <c r="F13" s="33">
        <v>5198</v>
      </c>
      <c r="G13" s="30"/>
    </row>
    <row r="14" spans="1:16" x14ac:dyDescent="0.2">
      <c r="A14" s="29" t="s">
        <v>192</v>
      </c>
      <c r="B14" s="33">
        <v>10371</v>
      </c>
      <c r="C14" s="33">
        <v>7612</v>
      </c>
      <c r="D14" s="33">
        <v>12786</v>
      </c>
      <c r="E14" s="33">
        <v>8964</v>
      </c>
      <c r="F14" s="33">
        <v>5305</v>
      </c>
      <c r="G14" s="30"/>
    </row>
    <row r="15" spans="1:16" x14ac:dyDescent="0.2">
      <c r="A15" s="29" t="s">
        <v>51</v>
      </c>
      <c r="B15" s="102">
        <v>0.26</v>
      </c>
      <c r="C15" s="102">
        <v>0.2</v>
      </c>
      <c r="D15" s="102">
        <v>0.28999999999999998</v>
      </c>
      <c r="E15" s="102">
        <v>0.27</v>
      </c>
      <c r="F15" s="102">
        <v>0.23</v>
      </c>
      <c r="G15" s="31"/>
    </row>
    <row r="16" spans="1:16" x14ac:dyDescent="0.2">
      <c r="G16" s="30"/>
    </row>
    <row r="17" spans="1:7" x14ac:dyDescent="0.2">
      <c r="A17" s="101" t="s">
        <v>180</v>
      </c>
      <c r="B17" s="101">
        <v>2024</v>
      </c>
      <c r="C17" s="101">
        <v>2023</v>
      </c>
      <c r="D17" s="101">
        <v>2022</v>
      </c>
      <c r="E17" s="101">
        <v>2021</v>
      </c>
      <c r="F17" s="101">
        <v>2020</v>
      </c>
      <c r="G17" s="30"/>
    </row>
    <row r="18" spans="1:7" x14ac:dyDescent="0.2">
      <c r="A18" s="29" t="s">
        <v>193</v>
      </c>
      <c r="B18" s="33">
        <v>38962</v>
      </c>
      <c r="C18" s="33">
        <v>35820</v>
      </c>
      <c r="D18" s="33">
        <v>44200</v>
      </c>
      <c r="E18" s="33">
        <v>33566</v>
      </c>
      <c r="F18" s="33">
        <v>23531</v>
      </c>
      <c r="G18" s="30"/>
    </row>
    <row r="19" spans="1:7" x14ac:dyDescent="0.2">
      <c r="A19" s="29" t="s">
        <v>23</v>
      </c>
      <c r="B19" s="33">
        <v>17060</v>
      </c>
      <c r="C19" s="33">
        <v>15869</v>
      </c>
      <c r="D19" s="33">
        <v>18635</v>
      </c>
      <c r="E19" s="33">
        <v>14262</v>
      </c>
      <c r="F19" s="33">
        <v>9255</v>
      </c>
      <c r="G19" s="30"/>
    </row>
    <row r="20" spans="1:7" x14ac:dyDescent="0.2">
      <c r="D20" s="104"/>
      <c r="E20" s="104"/>
      <c r="G20" s="30"/>
    </row>
    <row r="21" spans="1:7" x14ac:dyDescent="0.2">
      <c r="A21" s="101" t="s">
        <v>130</v>
      </c>
      <c r="B21" s="101" t="s">
        <v>194</v>
      </c>
      <c r="C21" s="101" t="s">
        <v>19</v>
      </c>
      <c r="D21" s="101" t="s">
        <v>20</v>
      </c>
      <c r="E21" s="101" t="s">
        <v>21</v>
      </c>
      <c r="G21" s="30"/>
    </row>
    <row r="22" spans="1:7" x14ac:dyDescent="0.2">
      <c r="A22" s="29" t="s">
        <v>181</v>
      </c>
      <c r="B22" s="35">
        <f t="shared" ref="B22:E23" si="1">(B5-C5)/C5</f>
        <v>8.7716359575656058E-2</v>
      </c>
      <c r="C22" s="36">
        <f t="shared" si="1"/>
        <v>-0.18959276018099547</v>
      </c>
      <c r="D22" s="35">
        <f t="shared" si="1"/>
        <v>0.31680867544539115</v>
      </c>
      <c r="E22" s="35">
        <f t="shared" si="1"/>
        <v>0.42645871403680252</v>
      </c>
      <c r="F22" s="53"/>
      <c r="G22" s="30"/>
    </row>
    <row r="23" spans="1:7" x14ac:dyDescent="0.2">
      <c r="A23" s="29" t="s">
        <v>23</v>
      </c>
      <c r="B23" s="35">
        <f t="shared" si="1"/>
        <v>7.5051988153002708E-2</v>
      </c>
      <c r="C23" s="36">
        <f t="shared" si="1"/>
        <v>-0.14843037295411859</v>
      </c>
      <c r="D23" s="35">
        <f t="shared" si="1"/>
        <v>0.30661898751928202</v>
      </c>
      <c r="E23" s="35">
        <f t="shared" si="1"/>
        <v>0.5410048622366288</v>
      </c>
      <c r="F23" s="53"/>
      <c r="G23" s="30"/>
    </row>
    <row r="24" spans="1:7" x14ac:dyDescent="0.2">
      <c r="A24" s="29" t="s">
        <v>54</v>
      </c>
      <c r="B24" s="35">
        <f>(B8-C8)/C8</f>
        <v>1.8916857360793286E-2</v>
      </c>
      <c r="C24" s="35">
        <f>(C8-D8)/D8</f>
        <v>4.6623024109851509E-2</v>
      </c>
      <c r="D24" s="35">
        <f>(D8-E8)/E8</f>
        <v>0.12877354239884653</v>
      </c>
      <c r="E24" s="35">
        <f>(E8-F8)/F8</f>
        <v>0.17528066087693286</v>
      </c>
      <c r="F24" s="53"/>
      <c r="G24" s="30"/>
    </row>
    <row r="25" spans="1:7" x14ac:dyDescent="0.2">
      <c r="A25" s="29" t="s">
        <v>66</v>
      </c>
      <c r="B25" s="35">
        <f>(B7-C7)/C7</f>
        <v>9.7789584481980857E-2</v>
      </c>
      <c r="C25" s="36">
        <f>(C7-D7)/D7</f>
        <v>-0.21959710541756308</v>
      </c>
      <c r="D25" s="35">
        <f>(D7-E7)/E7</f>
        <v>0.32433692498963945</v>
      </c>
      <c r="E25" s="35">
        <f>(E7-F7)/F7</f>
        <v>0.35219949565704678</v>
      </c>
      <c r="F25" s="53"/>
      <c r="G25" s="30"/>
    </row>
    <row r="26" spans="1:7" x14ac:dyDescent="0.2">
      <c r="A26" s="29" t="s">
        <v>183</v>
      </c>
      <c r="B26" s="35">
        <f>(B9-C9)/C9</f>
        <v>0.24894021341909078</v>
      </c>
      <c r="C26" s="36">
        <f t="shared" ref="C26:E26" si="2">(C9-D9)/D9</f>
        <v>-0.47534320116573359</v>
      </c>
      <c r="D26" s="35">
        <f t="shared" si="2"/>
        <v>0.58876568782746441</v>
      </c>
      <c r="E26" s="35">
        <f t="shared" si="2"/>
        <v>0.6977658254033926</v>
      </c>
      <c r="F26" s="53"/>
      <c r="G26" s="30"/>
    </row>
    <row r="27" spans="1:7" x14ac:dyDescent="0.2">
      <c r="A27" s="29" t="s">
        <v>71</v>
      </c>
      <c r="B27" s="35">
        <f>(B13-C13)/C13</f>
        <v>0.4023783185840708</v>
      </c>
      <c r="C27" s="36">
        <f t="shared" ref="C27:E27" si="3">(C13-D13)/D13</f>
        <v>-0.44094001236858382</v>
      </c>
      <c r="D27" s="35">
        <f t="shared" si="3"/>
        <v>0.43049872829813113</v>
      </c>
      <c r="E27" s="35">
        <f t="shared" si="3"/>
        <v>0.73970757983839941</v>
      </c>
      <c r="F27" s="53"/>
      <c r="G27" s="30"/>
    </row>
    <row r="28" spans="1:7" x14ac:dyDescent="0.2">
      <c r="G28" s="30"/>
    </row>
    <row r="29" spans="1:7" x14ac:dyDescent="0.2">
      <c r="A29" s="251" t="s">
        <v>139</v>
      </c>
      <c r="B29" s="252"/>
      <c r="C29" s="252"/>
      <c r="D29" s="252"/>
      <c r="E29" s="252"/>
      <c r="F29" s="252"/>
      <c r="G29" s="30"/>
    </row>
    <row r="30" spans="1:7" x14ac:dyDescent="0.2">
      <c r="A30" s="101" t="s">
        <v>180</v>
      </c>
      <c r="B30" s="101">
        <v>2024</v>
      </c>
      <c r="C30" s="101">
        <v>2023</v>
      </c>
      <c r="D30" s="101">
        <v>2022</v>
      </c>
      <c r="E30" s="101">
        <v>2021</v>
      </c>
      <c r="F30" s="101">
        <v>2020</v>
      </c>
      <c r="G30" s="30"/>
    </row>
    <row r="31" spans="1:7" x14ac:dyDescent="0.2">
      <c r="A31" s="29" t="s">
        <v>140</v>
      </c>
      <c r="B31" s="37">
        <v>8893</v>
      </c>
      <c r="C31" s="37">
        <v>8818</v>
      </c>
      <c r="D31" s="37">
        <v>8194</v>
      </c>
      <c r="E31" s="37">
        <v>7176</v>
      </c>
      <c r="F31" s="33">
        <v>5975</v>
      </c>
      <c r="G31" s="30"/>
    </row>
    <row r="32" spans="1:7" x14ac:dyDescent="0.2">
      <c r="A32" s="29" t="s">
        <v>141</v>
      </c>
      <c r="B32" s="37">
        <v>2759</v>
      </c>
      <c r="C32" s="37">
        <v>2483</v>
      </c>
      <c r="D32" s="37">
        <v>2570</v>
      </c>
      <c r="E32" s="37">
        <v>2339</v>
      </c>
      <c r="F32" s="33">
        <v>2074</v>
      </c>
      <c r="G32" s="30"/>
    </row>
    <row r="33" spans="1:7" x14ac:dyDescent="0.2">
      <c r="A33" s="29" t="s">
        <v>195</v>
      </c>
      <c r="B33" s="37">
        <v>1706</v>
      </c>
      <c r="C33" s="37">
        <v>1809</v>
      </c>
      <c r="D33" s="38">
        <v>1762</v>
      </c>
      <c r="E33" s="38">
        <v>1582</v>
      </c>
      <c r="F33" s="33">
        <v>1393</v>
      </c>
      <c r="G33" s="30"/>
    </row>
    <row r="34" spans="1:7" x14ac:dyDescent="0.2">
      <c r="A34" s="29" t="s">
        <v>146</v>
      </c>
      <c r="B34" s="105">
        <f>SUM(B31:B33)</f>
        <v>13358</v>
      </c>
      <c r="C34" s="105">
        <f t="shared" ref="C34:F34" si="4">SUM(C31:C33)</f>
        <v>13110</v>
      </c>
      <c r="D34" s="105">
        <f t="shared" si="4"/>
        <v>12526</v>
      </c>
      <c r="E34" s="105">
        <f t="shared" si="4"/>
        <v>11097</v>
      </c>
      <c r="F34" s="105">
        <f t="shared" si="4"/>
        <v>9442</v>
      </c>
      <c r="G34" s="30"/>
    </row>
    <row r="35" spans="1:7" x14ac:dyDescent="0.2">
      <c r="G35" s="30"/>
    </row>
    <row r="36" spans="1:7" x14ac:dyDescent="0.2">
      <c r="G36" s="30"/>
    </row>
    <row r="37" spans="1:7" x14ac:dyDescent="0.2">
      <c r="A37" s="251" t="s">
        <v>196</v>
      </c>
      <c r="B37" s="252"/>
      <c r="C37" s="252"/>
      <c r="D37" s="252"/>
      <c r="E37" s="252"/>
      <c r="F37" s="252"/>
      <c r="G37" s="30"/>
    </row>
    <row r="38" spans="1:7" x14ac:dyDescent="0.2">
      <c r="A38" s="101" t="s">
        <v>180</v>
      </c>
      <c r="B38" s="101">
        <v>2024</v>
      </c>
      <c r="C38" s="101">
        <v>2023</v>
      </c>
      <c r="D38" s="101">
        <v>2022</v>
      </c>
      <c r="E38" s="101">
        <v>2021</v>
      </c>
      <c r="F38" s="101">
        <v>2020</v>
      </c>
      <c r="G38" s="30"/>
    </row>
    <row r="39" spans="1:7" x14ac:dyDescent="0.2">
      <c r="A39" s="29" t="s">
        <v>197</v>
      </c>
      <c r="B39" s="37">
        <v>-1041</v>
      </c>
      <c r="C39" s="37">
        <v>-1450</v>
      </c>
      <c r="D39" s="37">
        <v>-2262</v>
      </c>
      <c r="E39" s="37">
        <v>-1888</v>
      </c>
      <c r="F39" s="37">
        <v>-1407</v>
      </c>
      <c r="G39" s="30"/>
    </row>
    <row r="40" spans="1:7" x14ac:dyDescent="0.2">
      <c r="A40" s="29" t="s">
        <v>198</v>
      </c>
      <c r="B40" s="37">
        <v>-5069</v>
      </c>
      <c r="C40" s="37">
        <v>-668</v>
      </c>
      <c r="D40" s="37">
        <v>-1414</v>
      </c>
      <c r="E40" s="37">
        <v>-5907</v>
      </c>
      <c r="F40" s="37">
        <v>-6213</v>
      </c>
      <c r="G40" s="30"/>
    </row>
    <row r="41" spans="1:7" x14ac:dyDescent="0.2">
      <c r="A41" s="29" t="s">
        <v>199</v>
      </c>
      <c r="B41" s="37">
        <v>2677</v>
      </c>
      <c r="C41" s="37">
        <v>1566</v>
      </c>
      <c r="D41" s="37">
        <v>2622</v>
      </c>
      <c r="E41" s="37">
        <v>5555</v>
      </c>
      <c r="F41" s="37">
        <v>2399</v>
      </c>
      <c r="G41" s="30"/>
    </row>
    <row r="42" spans="1:7" x14ac:dyDescent="0.2">
      <c r="A42" s="29" t="s">
        <v>200</v>
      </c>
      <c r="B42" s="37">
        <v>-254</v>
      </c>
      <c r="C42" s="37">
        <v>-235</v>
      </c>
      <c r="D42" s="37">
        <v>-4912</v>
      </c>
      <c r="E42" s="37">
        <v>-1377</v>
      </c>
      <c r="F42" s="37">
        <v>-185</v>
      </c>
      <c r="G42" s="30"/>
    </row>
    <row r="43" spans="1:7" x14ac:dyDescent="0.2">
      <c r="A43" s="29" t="s">
        <v>201</v>
      </c>
      <c r="B43" s="37">
        <v>10</v>
      </c>
      <c r="C43" s="37">
        <v>127</v>
      </c>
      <c r="D43" s="37">
        <v>5</v>
      </c>
      <c r="E43" s="37">
        <v>3</v>
      </c>
      <c r="F43" s="37" t="s">
        <v>144</v>
      </c>
      <c r="G43" s="30"/>
    </row>
    <row r="44" spans="1:7" x14ac:dyDescent="0.2">
      <c r="A44" s="29" t="s">
        <v>202</v>
      </c>
      <c r="B44" s="37">
        <v>88</v>
      </c>
      <c r="C44" s="37">
        <v>20</v>
      </c>
      <c r="D44" s="37">
        <v>132</v>
      </c>
      <c r="E44" s="37">
        <v>320</v>
      </c>
      <c r="F44" s="37">
        <v>100</v>
      </c>
      <c r="G44" s="30"/>
    </row>
    <row r="45" spans="1:7" x14ac:dyDescent="0.2">
      <c r="A45" s="29" t="s">
        <v>203</v>
      </c>
      <c r="B45" s="37">
        <v>-36</v>
      </c>
      <c r="C45" s="37">
        <v>19</v>
      </c>
      <c r="D45" s="37">
        <v>41</v>
      </c>
      <c r="E45" s="37">
        <v>-62</v>
      </c>
      <c r="F45" s="37">
        <v>43</v>
      </c>
      <c r="G45" s="30"/>
    </row>
    <row r="46" spans="1:7" x14ac:dyDescent="0.2">
      <c r="A46" s="29" t="s">
        <v>204</v>
      </c>
      <c r="B46" s="37">
        <v>2</v>
      </c>
      <c r="C46" s="37">
        <v>1383</v>
      </c>
      <c r="D46" s="37">
        <v>-16</v>
      </c>
      <c r="E46" s="37" t="s">
        <v>144</v>
      </c>
      <c r="F46" s="37" t="s">
        <v>144</v>
      </c>
      <c r="G46" s="30"/>
    </row>
    <row r="47" spans="1:7" x14ac:dyDescent="0.2">
      <c r="A47" s="29" t="s">
        <v>205</v>
      </c>
      <c r="B47" s="37">
        <v>-3623</v>
      </c>
      <c r="C47" s="37">
        <v>762</v>
      </c>
      <c r="D47" s="37">
        <v>-5804</v>
      </c>
      <c r="E47" s="37">
        <v>-3356</v>
      </c>
      <c r="F47" s="37">
        <v>-5263</v>
      </c>
      <c r="G47" s="30"/>
    </row>
    <row r="48" spans="1:7" ht="16" x14ac:dyDescent="0.2">
      <c r="A48" s="39"/>
      <c r="B48" s="39"/>
      <c r="C48" s="39"/>
      <c r="D48" s="39"/>
      <c r="E48" s="39"/>
      <c r="G48" s="30"/>
    </row>
    <row r="49" spans="1:7" x14ac:dyDescent="0.2">
      <c r="A49" s="251" t="s">
        <v>42</v>
      </c>
      <c r="B49" s="252"/>
      <c r="C49" s="252"/>
      <c r="D49" s="252"/>
      <c r="E49" s="252"/>
      <c r="F49" s="252"/>
      <c r="G49" s="30"/>
    </row>
    <row r="50" spans="1:7" x14ac:dyDescent="0.2">
      <c r="A50" s="106" t="s">
        <v>180</v>
      </c>
      <c r="B50" s="106">
        <v>2024</v>
      </c>
      <c r="C50" s="106">
        <v>2023</v>
      </c>
      <c r="D50" s="106">
        <v>2022</v>
      </c>
      <c r="E50" s="106">
        <v>2021</v>
      </c>
      <c r="F50" s="106">
        <v>2020</v>
      </c>
      <c r="G50" s="30"/>
    </row>
    <row r="51" spans="1:7" x14ac:dyDescent="0.2">
      <c r="A51" s="40" t="s">
        <v>84</v>
      </c>
      <c r="B51" s="41">
        <v>12202</v>
      </c>
      <c r="C51" s="41">
        <v>11299</v>
      </c>
      <c r="D51" s="41">
        <v>9096</v>
      </c>
      <c r="E51" s="41">
        <v>10536</v>
      </c>
      <c r="F51" s="33">
        <v>5814</v>
      </c>
      <c r="G51" s="30"/>
    </row>
    <row r="52" spans="1:7" x14ac:dyDescent="0.2">
      <c r="A52" s="40" t="s">
        <v>158</v>
      </c>
      <c r="B52" s="41">
        <v>-3623</v>
      </c>
      <c r="C52" s="41">
        <v>762</v>
      </c>
      <c r="D52" s="41">
        <v>-5804</v>
      </c>
      <c r="E52" s="41">
        <v>-3356</v>
      </c>
      <c r="F52" s="41">
        <v>-5263</v>
      </c>
      <c r="G52" s="30"/>
    </row>
    <row r="53" spans="1:7" x14ac:dyDescent="0.2">
      <c r="A53" s="40" t="s">
        <v>159</v>
      </c>
      <c r="B53" s="41">
        <v>-9269</v>
      </c>
      <c r="C53" s="41">
        <v>-6663</v>
      </c>
      <c r="D53" s="41">
        <v>-7196</v>
      </c>
      <c r="E53" s="41">
        <v>-6798</v>
      </c>
      <c r="F53" s="41">
        <v>-5707</v>
      </c>
      <c r="G53" s="30"/>
    </row>
    <row r="54" spans="1:7" x14ac:dyDescent="0.2">
      <c r="A54" s="40" t="s">
        <v>161</v>
      </c>
      <c r="B54" s="41">
        <v>8579</v>
      </c>
      <c r="C54" s="41">
        <v>12061</v>
      </c>
      <c r="D54" s="41">
        <v>3292</v>
      </c>
      <c r="E54" s="41">
        <v>7180</v>
      </c>
      <c r="F54" s="41">
        <v>551</v>
      </c>
      <c r="G54" s="30"/>
    </row>
    <row r="55" spans="1:7" x14ac:dyDescent="0.2">
      <c r="G55" s="30"/>
    </row>
    <row r="56" spans="1:7" x14ac:dyDescent="0.2">
      <c r="A56" s="248" t="s">
        <v>147</v>
      </c>
      <c r="B56" s="248"/>
      <c r="C56" s="248"/>
      <c r="D56" s="248"/>
      <c r="E56" s="248"/>
      <c r="F56" s="248"/>
      <c r="G56" s="30"/>
    </row>
    <row r="57" spans="1:7" x14ac:dyDescent="0.2">
      <c r="A57" s="54" t="s">
        <v>206</v>
      </c>
      <c r="B57" s="54">
        <v>2024</v>
      </c>
      <c r="C57" s="54">
        <v>2023</v>
      </c>
      <c r="D57" s="54">
        <v>2022</v>
      </c>
      <c r="E57" s="54">
        <v>2021</v>
      </c>
      <c r="F57" s="54">
        <v>2020</v>
      </c>
      <c r="G57" s="30"/>
    </row>
    <row r="58" spans="1:7" x14ac:dyDescent="0.2">
      <c r="A58" s="253" t="s">
        <v>207</v>
      </c>
      <c r="B58" s="253"/>
      <c r="C58" s="253"/>
      <c r="D58" s="253"/>
      <c r="E58" s="253"/>
      <c r="F58" s="253"/>
      <c r="G58" s="30"/>
    </row>
    <row r="59" spans="1:7" x14ac:dyDescent="0.2">
      <c r="A59" s="55" t="s">
        <v>208</v>
      </c>
      <c r="B59" s="33">
        <v>24863</v>
      </c>
      <c r="C59" s="33">
        <v>22570</v>
      </c>
      <c r="D59" s="33">
        <v>28815</v>
      </c>
      <c r="E59" s="33">
        <v>20988</v>
      </c>
      <c r="F59" s="33">
        <v>12823</v>
      </c>
      <c r="G59" s="30"/>
    </row>
    <row r="60" spans="1:7" x14ac:dyDescent="0.2">
      <c r="A60" s="55" t="s">
        <v>209</v>
      </c>
      <c r="B60" s="33">
        <v>5423</v>
      </c>
      <c r="C60" s="33">
        <v>5940</v>
      </c>
      <c r="D60" s="33">
        <v>7353</v>
      </c>
      <c r="E60" s="33">
        <v>5056</v>
      </c>
      <c r="F60" s="33">
        <v>3026</v>
      </c>
      <c r="G60" s="30"/>
    </row>
    <row r="61" spans="1:7" x14ac:dyDescent="0.2">
      <c r="A61" s="55" t="s">
        <v>39</v>
      </c>
      <c r="B61" s="33">
        <v>2910</v>
      </c>
      <c r="C61" s="33">
        <v>1872</v>
      </c>
      <c r="D61" s="33">
        <v>1509</v>
      </c>
      <c r="E61" s="34">
        <v>975</v>
      </c>
      <c r="F61" s="34">
        <v>644</v>
      </c>
      <c r="G61" s="30"/>
    </row>
    <row r="62" spans="1:7" x14ac:dyDescent="0.2">
      <c r="A62" s="55" t="s">
        <v>210</v>
      </c>
      <c r="B62" s="33">
        <v>33196</v>
      </c>
      <c r="C62" s="33">
        <v>30382</v>
      </c>
      <c r="D62" s="33">
        <v>37677</v>
      </c>
      <c r="E62" s="33">
        <v>27019</v>
      </c>
      <c r="F62" s="33">
        <v>16493</v>
      </c>
      <c r="G62" s="30"/>
    </row>
    <row r="63" spans="1:7" x14ac:dyDescent="0.2">
      <c r="A63" s="34"/>
      <c r="B63" s="34"/>
      <c r="C63" s="34"/>
      <c r="D63" s="34"/>
      <c r="E63" s="34"/>
      <c r="F63" s="34"/>
      <c r="G63" s="30"/>
    </row>
    <row r="64" spans="1:7" x14ac:dyDescent="0.2">
      <c r="A64" s="247" t="s">
        <v>211</v>
      </c>
      <c r="B64" s="247"/>
      <c r="C64" s="247"/>
      <c r="D64" s="247"/>
      <c r="E64" s="247"/>
      <c r="F64" s="247"/>
      <c r="G64" s="30"/>
    </row>
    <row r="65" spans="1:7" x14ac:dyDescent="0.2">
      <c r="A65" s="55" t="s">
        <v>212</v>
      </c>
      <c r="B65" s="33">
        <v>5572</v>
      </c>
      <c r="C65" s="33">
        <v>5306</v>
      </c>
      <c r="D65" s="33">
        <v>6358</v>
      </c>
      <c r="E65" s="33">
        <v>6320</v>
      </c>
      <c r="F65" s="33">
        <v>5028</v>
      </c>
      <c r="G65" s="30"/>
    </row>
    <row r="66" spans="1:7" x14ac:dyDescent="0.2">
      <c r="A66" s="34"/>
      <c r="B66" s="34"/>
      <c r="C66" s="34"/>
      <c r="D66" s="34"/>
      <c r="E66" s="34"/>
      <c r="F66" s="34"/>
      <c r="G66" s="30"/>
    </row>
    <row r="67" spans="1:7" x14ac:dyDescent="0.2">
      <c r="A67" s="247" t="s">
        <v>213</v>
      </c>
      <c r="B67" s="247"/>
      <c r="C67" s="247"/>
      <c r="D67" s="247"/>
      <c r="E67" s="247"/>
      <c r="F67" s="247"/>
      <c r="G67" s="30"/>
    </row>
    <row r="68" spans="1:7" x14ac:dyDescent="0.2">
      <c r="A68" s="55" t="s">
        <v>214</v>
      </c>
      <c r="B68" s="34">
        <v>18</v>
      </c>
      <c r="C68" s="34">
        <v>28</v>
      </c>
      <c r="D68" s="34">
        <v>31</v>
      </c>
      <c r="E68" s="34">
        <v>45</v>
      </c>
      <c r="F68" s="34">
        <v>36</v>
      </c>
      <c r="G68" s="30"/>
    </row>
    <row r="69" spans="1:7" x14ac:dyDescent="0.2">
      <c r="G69" s="30"/>
    </row>
    <row r="70" spans="1:7" x14ac:dyDescent="0.2">
      <c r="G70" s="30"/>
    </row>
    <row r="71" spans="1:7" x14ac:dyDescent="0.2">
      <c r="G71" s="30"/>
    </row>
    <row r="72" spans="1:7" x14ac:dyDescent="0.2">
      <c r="G72" s="30"/>
    </row>
    <row r="73" spans="1:7" x14ac:dyDescent="0.2">
      <c r="G73" s="30"/>
    </row>
    <row r="78" spans="1:7" x14ac:dyDescent="0.2">
      <c r="F78" t="s">
        <v>215</v>
      </c>
    </row>
  </sheetData>
  <mergeCells count="9">
    <mergeCell ref="A64:F64"/>
    <mergeCell ref="A67:F67"/>
    <mergeCell ref="A56:F56"/>
    <mergeCell ref="A1:O1"/>
    <mergeCell ref="A29:F29"/>
    <mergeCell ref="A37:F37"/>
    <mergeCell ref="A49:F49"/>
    <mergeCell ref="A58:F58"/>
    <mergeCell ref="A2:F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1D99-ECB0-4470-803B-EAE58A016A6F}">
  <dimension ref="A1:R82"/>
  <sheetViews>
    <sheetView topLeftCell="D1" zoomScale="94" workbookViewId="0">
      <selection activeCell="Q20" sqref="Q20"/>
    </sheetView>
  </sheetViews>
  <sheetFormatPr baseColWidth="10" defaultColWidth="8.6640625" defaultRowHeight="15" x14ac:dyDescent="0.2"/>
  <cols>
    <col min="1" max="1" width="36.6640625" customWidth="1"/>
    <col min="2" max="6" width="23" customWidth="1"/>
  </cols>
  <sheetData>
    <row r="1" spans="1:18" ht="34" x14ac:dyDescent="0.4">
      <c r="A1" s="267" t="s">
        <v>13</v>
      </c>
      <c r="B1" s="268"/>
      <c r="C1" s="268"/>
      <c r="D1" s="268"/>
      <c r="E1" s="268"/>
      <c r="F1" s="268"/>
      <c r="G1" s="268"/>
      <c r="H1" s="268"/>
      <c r="I1" s="268"/>
      <c r="J1" s="268"/>
      <c r="K1" s="268"/>
      <c r="L1" s="268"/>
      <c r="M1" s="268"/>
      <c r="N1" s="268"/>
      <c r="O1" s="268"/>
      <c r="P1" s="268"/>
      <c r="Q1" s="268"/>
      <c r="R1" t="s">
        <v>335</v>
      </c>
    </row>
    <row r="2" spans="1:18" x14ac:dyDescent="0.2">
      <c r="A2" s="68"/>
      <c r="B2" s="68"/>
      <c r="C2" s="68"/>
      <c r="D2" s="68"/>
      <c r="E2" s="68"/>
      <c r="F2" s="68"/>
    </row>
    <row r="3" spans="1:18" x14ac:dyDescent="0.2">
      <c r="A3" s="263" t="s">
        <v>216</v>
      </c>
      <c r="B3" s="264"/>
      <c r="C3" s="264"/>
      <c r="D3" s="264"/>
      <c r="E3" s="264"/>
      <c r="F3" s="264"/>
    </row>
    <row r="4" spans="1:18" x14ac:dyDescent="0.2">
      <c r="A4" s="107" t="s">
        <v>217</v>
      </c>
      <c r="B4" s="179" t="s">
        <v>218</v>
      </c>
      <c r="C4" s="179" t="s">
        <v>219</v>
      </c>
      <c r="D4" s="179" t="s">
        <v>220</v>
      </c>
      <c r="E4" s="179" t="s">
        <v>221</v>
      </c>
      <c r="F4" s="179" t="s">
        <v>222</v>
      </c>
    </row>
    <row r="5" spans="1:18" x14ac:dyDescent="0.2">
      <c r="A5" s="259" t="s">
        <v>106</v>
      </c>
      <c r="B5" s="257" t="s">
        <v>223</v>
      </c>
      <c r="C5" s="257" t="s">
        <v>224</v>
      </c>
      <c r="D5" s="257" t="s">
        <v>225</v>
      </c>
      <c r="E5" s="257" t="s">
        <v>226</v>
      </c>
      <c r="F5" s="257" t="s">
        <v>227</v>
      </c>
    </row>
    <row r="6" spans="1:18" x14ac:dyDescent="0.2">
      <c r="A6" s="260"/>
      <c r="B6" s="258"/>
      <c r="C6" s="258"/>
      <c r="D6" s="258"/>
      <c r="E6" s="258"/>
      <c r="F6" s="258"/>
    </row>
    <row r="7" spans="1:18" x14ac:dyDescent="0.2">
      <c r="A7" s="108" t="s">
        <v>1</v>
      </c>
      <c r="B7" s="184">
        <v>4007</v>
      </c>
      <c r="C7" s="184">
        <v>3233</v>
      </c>
      <c r="D7" s="184">
        <v>2679</v>
      </c>
      <c r="E7" s="184">
        <v>2703</v>
      </c>
      <c r="F7" s="184">
        <v>2027</v>
      </c>
      <c r="G7" s="30"/>
    </row>
    <row r="8" spans="1:18" x14ac:dyDescent="0.2">
      <c r="A8" s="108" t="s">
        <v>71</v>
      </c>
      <c r="B8" s="185">
        <v>792</v>
      </c>
      <c r="C8" s="185">
        <v>306</v>
      </c>
      <c r="D8" s="185">
        <v>524</v>
      </c>
      <c r="E8" s="185">
        <v>676</v>
      </c>
      <c r="F8" s="185">
        <v>544</v>
      </c>
    </row>
    <row r="9" spans="1:18" x14ac:dyDescent="0.2">
      <c r="A9" s="108" t="s">
        <v>65</v>
      </c>
      <c r="B9" s="186">
        <v>-121</v>
      </c>
      <c r="C9" s="186">
        <v>-154</v>
      </c>
      <c r="D9" s="186">
        <v>-106</v>
      </c>
      <c r="E9" s="186">
        <v>-131</v>
      </c>
      <c r="F9" s="186">
        <v>-145</v>
      </c>
    </row>
    <row r="10" spans="1:18" x14ac:dyDescent="0.2">
      <c r="A10" s="108" t="s">
        <v>66</v>
      </c>
      <c r="B10" s="184">
        <v>3886</v>
      </c>
      <c r="C10" s="184">
        <v>3079</v>
      </c>
      <c r="D10" s="184">
        <v>2773</v>
      </c>
      <c r="E10" s="184">
        <v>2834</v>
      </c>
      <c r="F10" s="184">
        <v>1882</v>
      </c>
    </row>
    <row r="11" spans="1:18" x14ac:dyDescent="0.2">
      <c r="A11" s="108" t="s">
        <v>54</v>
      </c>
      <c r="B11" s="185">
        <f>B36</f>
        <v>3055</v>
      </c>
      <c r="C11" s="185">
        <f>C36</f>
        <v>2968</v>
      </c>
      <c r="D11" s="185">
        <f>D36</f>
        <v>1902</v>
      </c>
      <c r="E11" s="185">
        <f>E36</f>
        <v>1939</v>
      </c>
      <c r="F11" s="185">
        <f>F36</f>
        <v>1643</v>
      </c>
    </row>
    <row r="12" spans="1:18" x14ac:dyDescent="0.2">
      <c r="A12" s="108" t="s">
        <v>67</v>
      </c>
      <c r="B12" s="184">
        <v>831</v>
      </c>
      <c r="C12" s="184">
        <v>111</v>
      </c>
      <c r="D12" s="184">
        <v>671</v>
      </c>
      <c r="E12" s="184">
        <v>633</v>
      </c>
      <c r="F12" s="184">
        <v>239</v>
      </c>
    </row>
    <row r="13" spans="1:18" x14ac:dyDescent="0.2">
      <c r="A13" s="108" t="s">
        <v>68</v>
      </c>
      <c r="B13" s="109">
        <f>B12/B7</f>
        <v>0.2073870726229099</v>
      </c>
      <c r="C13" s="109">
        <f>C12/C7</f>
        <v>3.4333436436746058E-2</v>
      </c>
      <c r="D13" s="109">
        <f>D12/D7</f>
        <v>0.25046659201194477</v>
      </c>
      <c r="E13" s="109">
        <f>E12/E7</f>
        <v>0.23418423973362931</v>
      </c>
      <c r="F13" s="109">
        <f>F12/F7</f>
        <v>0.11790823877651702</v>
      </c>
    </row>
    <row r="14" spans="1:18" x14ac:dyDescent="0.2">
      <c r="A14" s="108" t="s">
        <v>69</v>
      </c>
      <c r="B14" s="184">
        <v>720</v>
      </c>
      <c r="C14" s="184">
        <v>212</v>
      </c>
      <c r="D14" s="184">
        <v>671</v>
      </c>
      <c r="E14" s="184">
        <v>786</v>
      </c>
      <c r="F14" s="184">
        <v>697</v>
      </c>
    </row>
    <row r="15" spans="1:18" x14ac:dyDescent="0.2">
      <c r="A15" s="108" t="s">
        <v>70</v>
      </c>
      <c r="B15" s="186">
        <v>72</v>
      </c>
      <c r="C15" s="186">
        <v>94</v>
      </c>
      <c r="D15" s="186">
        <v>-147</v>
      </c>
      <c r="E15" s="186">
        <v>-110</v>
      </c>
      <c r="F15" s="186">
        <v>-153</v>
      </c>
    </row>
    <row r="17" spans="1:6" ht="14.75" customHeight="1" x14ac:dyDescent="0.2">
      <c r="A17" s="68"/>
      <c r="B17" s="68"/>
      <c r="C17" s="68"/>
      <c r="D17" s="68"/>
      <c r="E17" s="68"/>
      <c r="F17" s="68"/>
    </row>
    <row r="18" spans="1:6" ht="14.75" customHeight="1" x14ac:dyDescent="0.2">
      <c r="A18" s="265" t="s">
        <v>228</v>
      </c>
      <c r="B18" s="265"/>
      <c r="C18" s="265"/>
      <c r="D18" s="265"/>
      <c r="E18" s="265"/>
      <c r="F18" s="265"/>
    </row>
    <row r="19" spans="1:6" x14ac:dyDescent="0.2">
      <c r="A19" s="261" t="s">
        <v>106</v>
      </c>
      <c r="B19" s="269" t="s">
        <v>223</v>
      </c>
      <c r="C19" s="269" t="s">
        <v>224</v>
      </c>
      <c r="D19" s="269" t="s">
        <v>225</v>
      </c>
      <c r="E19" s="269" t="s">
        <v>226</v>
      </c>
      <c r="F19" s="269" t="s">
        <v>227</v>
      </c>
    </row>
    <row r="20" spans="1:6" x14ac:dyDescent="0.2">
      <c r="A20" s="262"/>
      <c r="B20" s="270"/>
      <c r="C20" s="270"/>
      <c r="D20" s="270"/>
      <c r="E20" s="270"/>
      <c r="F20" s="270"/>
    </row>
    <row r="21" spans="1:6" x14ac:dyDescent="0.2">
      <c r="A21" s="111" t="s">
        <v>229</v>
      </c>
      <c r="B21" s="184">
        <f>B24+B23</f>
        <v>362</v>
      </c>
      <c r="C21" s="184">
        <f>C24+C23</f>
        <v>574</v>
      </c>
      <c r="D21" s="184">
        <f>D24+D23</f>
        <v>601</v>
      </c>
      <c r="E21" s="184">
        <f>E24+E23</f>
        <v>-161</v>
      </c>
      <c r="F21" s="184">
        <f>F24+F23</f>
        <v>893</v>
      </c>
    </row>
    <row r="22" spans="1:6" x14ac:dyDescent="0.2">
      <c r="A22" s="111" t="s">
        <v>230</v>
      </c>
      <c r="B22" s="185">
        <v>-202</v>
      </c>
      <c r="C22" s="185">
        <v>-208</v>
      </c>
      <c r="D22" s="185">
        <v>-42</v>
      </c>
      <c r="E22" s="185">
        <v>-32</v>
      </c>
      <c r="F22" s="185">
        <v>-789</v>
      </c>
    </row>
    <row r="23" spans="1:6" x14ac:dyDescent="0.2">
      <c r="A23" s="111" t="s">
        <v>231</v>
      </c>
      <c r="B23" s="185">
        <v>-35</v>
      </c>
      <c r="C23" s="185">
        <v>-516</v>
      </c>
      <c r="D23" s="185">
        <v>-138</v>
      </c>
      <c r="E23" s="185">
        <v>-619</v>
      </c>
      <c r="F23" s="185">
        <v>-340</v>
      </c>
    </row>
    <row r="24" spans="1:6" x14ac:dyDescent="0.2">
      <c r="A24" s="111" t="s">
        <v>232</v>
      </c>
      <c r="B24" s="185">
        <v>397</v>
      </c>
      <c r="C24" s="185">
        <v>1090</v>
      </c>
      <c r="D24" s="185">
        <v>739</v>
      </c>
      <c r="E24" s="185">
        <v>458</v>
      </c>
      <c r="F24" s="185">
        <v>1233</v>
      </c>
    </row>
    <row r="25" spans="1:6" x14ac:dyDescent="0.2">
      <c r="A25" s="111" t="s">
        <v>233</v>
      </c>
      <c r="B25" s="185">
        <v>2</v>
      </c>
      <c r="C25" s="185">
        <v>3</v>
      </c>
      <c r="D25" s="185">
        <v>-9</v>
      </c>
      <c r="E25" s="185">
        <v>-17</v>
      </c>
      <c r="F25" s="185">
        <v>1</v>
      </c>
    </row>
    <row r="26" spans="1:6" x14ac:dyDescent="0.2">
      <c r="A26" s="111" t="s">
        <v>234</v>
      </c>
      <c r="B26" s="185">
        <v>162</v>
      </c>
      <c r="C26" s="185">
        <v>369</v>
      </c>
      <c r="D26" s="185">
        <v>550</v>
      </c>
      <c r="E26" s="185">
        <v>-210</v>
      </c>
      <c r="F26" s="185">
        <v>105</v>
      </c>
    </row>
    <row r="27" spans="1:6" x14ac:dyDescent="0.2">
      <c r="A27" s="68"/>
      <c r="B27" s="68"/>
      <c r="C27" s="68"/>
      <c r="D27" s="68"/>
      <c r="E27" s="68"/>
      <c r="F27" s="68"/>
    </row>
    <row r="28" spans="1:6" x14ac:dyDescent="0.2">
      <c r="A28" s="68"/>
      <c r="B28" s="68"/>
      <c r="C28" s="68"/>
      <c r="D28" s="68"/>
      <c r="E28" s="68"/>
      <c r="F28" s="68"/>
    </row>
    <row r="29" spans="1:6" x14ac:dyDescent="0.2">
      <c r="A29" s="266" t="s">
        <v>235</v>
      </c>
      <c r="B29" s="266"/>
      <c r="C29" s="266"/>
      <c r="D29" s="266"/>
      <c r="E29" s="266"/>
      <c r="F29" s="266"/>
    </row>
    <row r="30" spans="1:6" ht="14.75" customHeight="1" x14ac:dyDescent="0.2">
      <c r="A30" s="261" t="s">
        <v>106</v>
      </c>
      <c r="B30" s="271" t="s">
        <v>223</v>
      </c>
      <c r="C30" s="271" t="s">
        <v>224</v>
      </c>
      <c r="D30" s="271" t="s">
        <v>225</v>
      </c>
      <c r="E30" s="271" t="s">
        <v>226</v>
      </c>
      <c r="F30" s="271" t="s">
        <v>227</v>
      </c>
    </row>
    <row r="31" spans="1:6" x14ac:dyDescent="0.2">
      <c r="A31" s="262"/>
      <c r="B31" s="272"/>
      <c r="C31" s="272"/>
      <c r="D31" s="272"/>
      <c r="E31" s="272"/>
      <c r="F31" s="272"/>
    </row>
    <row r="32" spans="1:6" x14ac:dyDescent="0.2">
      <c r="A32" s="111" t="s">
        <v>236</v>
      </c>
      <c r="B32" s="187">
        <v>2071</v>
      </c>
      <c r="C32" s="187">
        <v>1979</v>
      </c>
      <c r="D32" s="185">
        <v>1133</v>
      </c>
      <c r="E32" s="185">
        <v>995</v>
      </c>
      <c r="F32" s="185">
        <v>814</v>
      </c>
    </row>
    <row r="33" spans="1:6" x14ac:dyDescent="0.2">
      <c r="A33" s="111" t="s">
        <v>237</v>
      </c>
      <c r="B33" s="187" t="s">
        <v>238</v>
      </c>
      <c r="C33" s="187" t="s">
        <v>238</v>
      </c>
      <c r="D33" s="185"/>
      <c r="E33" s="185">
        <v>21</v>
      </c>
      <c r="F33" s="185">
        <v>3</v>
      </c>
    </row>
    <row r="34" spans="1:6" x14ac:dyDescent="0.2">
      <c r="A34" s="111" t="s">
        <v>239</v>
      </c>
      <c r="B34" s="187">
        <v>984</v>
      </c>
      <c r="C34" s="187">
        <v>983</v>
      </c>
      <c r="D34" s="185">
        <v>762</v>
      </c>
      <c r="E34" s="185">
        <v>897</v>
      </c>
      <c r="F34" s="185">
        <v>826</v>
      </c>
    </row>
    <row r="35" spans="1:6" x14ac:dyDescent="0.2">
      <c r="A35" s="111" t="s">
        <v>240</v>
      </c>
      <c r="B35" s="187" t="s">
        <v>238</v>
      </c>
      <c r="C35" s="187">
        <v>6</v>
      </c>
      <c r="D35" s="185">
        <v>7</v>
      </c>
      <c r="E35" s="185">
        <v>26</v>
      </c>
      <c r="F35" s="185"/>
    </row>
    <row r="36" spans="1:6" x14ac:dyDescent="0.2">
      <c r="A36" s="111" t="s">
        <v>241</v>
      </c>
      <c r="B36" s="185">
        <f>SUM(B32:B35)</f>
        <v>3055</v>
      </c>
      <c r="C36" s="185">
        <f>SUM(C32:C35)</f>
        <v>2968</v>
      </c>
      <c r="D36" s="185">
        <f>SUM(D32:D35)</f>
        <v>1902</v>
      </c>
      <c r="E36" s="185">
        <f>SUM(E32:E35)</f>
        <v>1939</v>
      </c>
      <c r="F36" s="185">
        <f>SUM(F32:F35)</f>
        <v>1643</v>
      </c>
    </row>
    <row r="37" spans="1:6" x14ac:dyDescent="0.2">
      <c r="A37" s="68"/>
      <c r="B37" s="68"/>
      <c r="C37" s="68"/>
      <c r="D37" s="68"/>
      <c r="E37" s="68"/>
      <c r="F37" s="68"/>
    </row>
    <row r="38" spans="1:6" x14ac:dyDescent="0.2">
      <c r="A38" s="68"/>
      <c r="B38" s="68"/>
      <c r="C38" s="68"/>
      <c r="D38" s="68"/>
      <c r="E38" s="68"/>
      <c r="F38" s="68"/>
    </row>
    <row r="39" spans="1:6" x14ac:dyDescent="0.2">
      <c r="A39" s="68"/>
      <c r="B39" s="68"/>
      <c r="C39" s="68"/>
      <c r="D39" s="68"/>
      <c r="E39" s="68"/>
      <c r="F39" s="68"/>
    </row>
    <row r="40" spans="1:6" x14ac:dyDescent="0.2">
      <c r="A40" s="266" t="s">
        <v>87</v>
      </c>
      <c r="B40" s="266"/>
      <c r="C40" s="266"/>
      <c r="D40" s="266"/>
      <c r="E40" s="266"/>
      <c r="F40" s="266"/>
    </row>
    <row r="41" spans="1:6" x14ac:dyDescent="0.2">
      <c r="A41" s="261" t="s">
        <v>106</v>
      </c>
      <c r="B41" s="261" t="s">
        <v>223</v>
      </c>
      <c r="C41" s="261" t="s">
        <v>224</v>
      </c>
      <c r="D41" s="261" t="s">
        <v>225</v>
      </c>
      <c r="E41" s="261" t="s">
        <v>226</v>
      </c>
      <c r="F41" s="261" t="s">
        <v>227</v>
      </c>
    </row>
    <row r="42" spans="1:6" ht="14.75" customHeight="1" x14ac:dyDescent="0.2">
      <c r="A42" s="262"/>
      <c r="B42" s="262"/>
      <c r="C42" s="262"/>
      <c r="D42" s="262"/>
      <c r="E42" s="262"/>
      <c r="F42" s="262"/>
    </row>
    <row r="43" spans="1:6" x14ac:dyDescent="0.2">
      <c r="A43" s="111" t="s">
        <v>242</v>
      </c>
      <c r="B43" s="188">
        <v>219</v>
      </c>
      <c r="C43" s="188">
        <v>74</v>
      </c>
      <c r="D43" s="188">
        <v>34</v>
      </c>
      <c r="E43" s="188">
        <v>-103</v>
      </c>
      <c r="F43" s="188">
        <v>-142</v>
      </c>
    </row>
    <row r="44" spans="1:6" x14ac:dyDescent="0.2">
      <c r="A44" s="111" t="s">
        <v>243</v>
      </c>
      <c r="B44" s="188">
        <v>20</v>
      </c>
      <c r="C44" s="188">
        <v>69</v>
      </c>
      <c r="D44" s="188">
        <v>78</v>
      </c>
      <c r="E44" s="188">
        <v>-88</v>
      </c>
      <c r="F44" s="188">
        <v>-38</v>
      </c>
    </row>
    <row r="45" spans="1:6" x14ac:dyDescent="0.2">
      <c r="A45" s="111" t="s">
        <v>244</v>
      </c>
      <c r="B45" s="188"/>
      <c r="C45" s="188">
        <v>-2</v>
      </c>
      <c r="D45" s="188">
        <v>0</v>
      </c>
      <c r="E45" s="188">
        <v>-4</v>
      </c>
      <c r="F45" s="188">
        <v>-8</v>
      </c>
    </row>
    <row r="46" spans="1:6" x14ac:dyDescent="0.2">
      <c r="A46" s="111" t="s">
        <v>245</v>
      </c>
      <c r="B46" s="188">
        <v>57</v>
      </c>
      <c r="C46" s="188">
        <v>-11</v>
      </c>
      <c r="D46" s="188">
        <v>6</v>
      </c>
      <c r="E46" s="188">
        <v>-45</v>
      </c>
      <c r="F46" s="188">
        <v>-47</v>
      </c>
    </row>
    <row r="47" spans="1:6" x14ac:dyDescent="0.2">
      <c r="A47" s="111" t="s">
        <v>246</v>
      </c>
      <c r="B47" s="188"/>
      <c r="C47" s="188"/>
      <c r="D47" s="188">
        <v>-29</v>
      </c>
      <c r="E47" s="188">
        <v>-2</v>
      </c>
      <c r="F47" s="188"/>
    </row>
    <row r="48" spans="1:6" x14ac:dyDescent="0.2">
      <c r="A48" s="112" t="s">
        <v>247</v>
      </c>
      <c r="B48" s="189">
        <f>SUM(B43,B45,B44,B46,B47)</f>
        <v>296</v>
      </c>
      <c r="C48" s="189">
        <f>SUM(C43,C45,C44,C46,C47)</f>
        <v>130</v>
      </c>
      <c r="D48" s="189">
        <f>SUM(D43,D45,D44,D46,D47)</f>
        <v>89</v>
      </c>
      <c r="E48" s="189">
        <f>SUM(E43,E45,E44,E46,E47)</f>
        <v>-242</v>
      </c>
      <c r="F48" s="189">
        <f>SUM(F43,F45,F44,F46,F47)</f>
        <v>-235</v>
      </c>
    </row>
    <row r="49" spans="1:6" x14ac:dyDescent="0.2">
      <c r="A49" s="68"/>
      <c r="B49" s="68"/>
      <c r="C49" s="68"/>
      <c r="D49" s="68"/>
      <c r="E49" s="68"/>
      <c r="F49" s="68"/>
    </row>
    <row r="50" spans="1:6" x14ac:dyDescent="0.2">
      <c r="A50" s="110" t="s">
        <v>106</v>
      </c>
      <c r="B50" s="110" t="s">
        <v>248</v>
      </c>
      <c r="C50" s="110" t="s">
        <v>249</v>
      </c>
      <c r="D50" s="110" t="s">
        <v>250</v>
      </c>
      <c r="E50" s="110" t="s">
        <v>251</v>
      </c>
      <c r="F50" s="110" t="s">
        <v>252</v>
      </c>
    </row>
    <row r="51" spans="1:6" x14ac:dyDescent="0.2">
      <c r="A51" s="113" t="s">
        <v>253</v>
      </c>
      <c r="B51" s="114">
        <f>B10/B7</f>
        <v>0.96980284502121283</v>
      </c>
      <c r="C51" s="114">
        <f>C10/C7</f>
        <v>0.95236622332199194</v>
      </c>
      <c r="D51" s="114">
        <f>D10/D7</f>
        <v>1.0350877192982457</v>
      </c>
      <c r="E51" s="114">
        <f>E10/E7</f>
        <v>1.0484646688864225</v>
      </c>
      <c r="F51" s="114">
        <f>F10/F7</f>
        <v>0.92846571287617163</v>
      </c>
    </row>
    <row r="52" spans="1:6" x14ac:dyDescent="0.2">
      <c r="A52" s="113" t="s">
        <v>49</v>
      </c>
      <c r="B52" s="114">
        <f>B12/B7</f>
        <v>0.2073870726229099</v>
      </c>
      <c r="C52" s="114">
        <f>C12/C7</f>
        <v>3.4333436436746058E-2</v>
      </c>
      <c r="D52" s="114">
        <f>D12/D7</f>
        <v>0.25046659201194477</v>
      </c>
      <c r="E52" s="114">
        <f>E12/E7</f>
        <v>0.23418423973362931</v>
      </c>
      <c r="F52" s="114">
        <f>F12/F7</f>
        <v>0.11790823877651702</v>
      </c>
    </row>
    <row r="53" spans="1:6" x14ac:dyDescent="0.2">
      <c r="A53" s="113" t="s">
        <v>254</v>
      </c>
      <c r="B53" s="114">
        <f>B8/B7</f>
        <v>0.19765410531569752</v>
      </c>
      <c r="C53" s="114">
        <f>C8/C7</f>
        <v>9.4648932879678321E-2</v>
      </c>
      <c r="D53" s="114">
        <f>D8/D7</f>
        <v>0.19559537140724151</v>
      </c>
      <c r="E53" s="114">
        <f>E8/E7</f>
        <v>0.25009248982611915</v>
      </c>
      <c r="F53" s="114">
        <f>F8/F7</f>
        <v>0.26837691169215588</v>
      </c>
    </row>
    <row r="54" spans="1:6" x14ac:dyDescent="0.2">
      <c r="A54" s="68"/>
      <c r="B54" s="68"/>
      <c r="C54" s="68"/>
      <c r="D54" s="68"/>
      <c r="E54" s="68"/>
      <c r="F54" s="68"/>
    </row>
    <row r="55" spans="1:6" x14ac:dyDescent="0.2">
      <c r="A55" s="115" t="s">
        <v>255</v>
      </c>
      <c r="B55" s="115">
        <v>2024</v>
      </c>
      <c r="C55" s="115">
        <v>2023</v>
      </c>
      <c r="D55" s="115">
        <v>2022</v>
      </c>
      <c r="E55" s="115">
        <v>2021</v>
      </c>
      <c r="F55" s="68"/>
    </row>
    <row r="56" spans="1:6" x14ac:dyDescent="0.2">
      <c r="A56" s="111" t="s">
        <v>256</v>
      </c>
      <c r="B56" s="116">
        <f>B7/C7-1</f>
        <v>0.23940612434271569</v>
      </c>
      <c r="C56" s="116">
        <f>C7/D7-1</f>
        <v>0.20679357969391554</v>
      </c>
      <c r="D56" s="116">
        <f>D7/E7-1</f>
        <v>-8.8790233074361735E-3</v>
      </c>
      <c r="E56" s="116">
        <f>E7/F7-1</f>
        <v>0.33349777997039953</v>
      </c>
      <c r="F56" s="68"/>
    </row>
    <row r="57" spans="1:6" x14ac:dyDescent="0.2">
      <c r="A57" s="111" t="s">
        <v>257</v>
      </c>
      <c r="B57" s="116">
        <f t="shared" ref="B57:E57" si="0">B9/C9-1</f>
        <v>-0.2142857142857143</v>
      </c>
      <c r="C57" s="116">
        <f t="shared" si="0"/>
        <v>0.45283018867924518</v>
      </c>
      <c r="D57" s="116">
        <f t="shared" si="0"/>
        <v>-0.19083969465648853</v>
      </c>
      <c r="E57" s="116">
        <f t="shared" si="0"/>
        <v>-9.6551724137931005E-2</v>
      </c>
      <c r="F57" s="68"/>
    </row>
    <row r="58" spans="1:6" x14ac:dyDescent="0.2">
      <c r="A58" s="111" t="s">
        <v>139</v>
      </c>
      <c r="B58" s="116">
        <f>B11/C11-1</f>
        <v>2.9312668463611802E-2</v>
      </c>
      <c r="C58" s="116">
        <f>C11/D11-1</f>
        <v>0.56046267087276558</v>
      </c>
      <c r="D58" s="116">
        <f>D11/E11-1</f>
        <v>-1.9082001031459517E-2</v>
      </c>
      <c r="E58" s="116">
        <f>E11/F11-1</f>
        <v>0.18015824710894712</v>
      </c>
      <c r="F58" s="68"/>
    </row>
    <row r="59" spans="1:6" x14ac:dyDescent="0.2">
      <c r="A59" s="111" t="s">
        <v>66</v>
      </c>
      <c r="B59" s="116">
        <f>B10/C10-1</f>
        <v>0.26209808379343946</v>
      </c>
      <c r="C59" s="116">
        <f>C10/D10-1</f>
        <v>0.11034980165885333</v>
      </c>
      <c r="D59" s="116">
        <f>D10/E10-1</f>
        <v>-2.152434721242058E-2</v>
      </c>
      <c r="E59" s="116">
        <f>E10/F10-1</f>
        <v>0.50584484590860779</v>
      </c>
      <c r="F59" s="68"/>
    </row>
    <row r="60" spans="1:6" x14ac:dyDescent="0.2">
      <c r="A60" s="111" t="s">
        <v>71</v>
      </c>
      <c r="B60" s="116">
        <f>B8/C8-1</f>
        <v>1.5882352941176472</v>
      </c>
      <c r="C60" s="116">
        <f>C8/D8-1</f>
        <v>-0.41603053435114501</v>
      </c>
      <c r="D60" s="116">
        <f>D8/E8-1</f>
        <v>-0.2248520710059172</v>
      </c>
      <c r="E60" s="116">
        <f>E8/F8-1</f>
        <v>0.24264705882352944</v>
      </c>
      <c r="F60" s="68"/>
    </row>
    <row r="61" spans="1:6" x14ac:dyDescent="0.2">
      <c r="A61" s="68"/>
      <c r="B61" s="68"/>
      <c r="C61" s="68"/>
      <c r="D61" s="68"/>
      <c r="E61" s="68"/>
      <c r="F61" s="68"/>
    </row>
    <row r="62" spans="1:6" x14ac:dyDescent="0.2">
      <c r="A62" s="68"/>
      <c r="B62" s="68"/>
      <c r="C62" s="68"/>
      <c r="D62" s="68"/>
      <c r="E62" s="68"/>
      <c r="F62" s="68"/>
    </row>
    <row r="63" spans="1:6" x14ac:dyDescent="0.2">
      <c r="A63" s="117" t="s">
        <v>258</v>
      </c>
      <c r="B63" s="182">
        <v>2024</v>
      </c>
      <c r="C63" s="182">
        <v>2023</v>
      </c>
      <c r="D63" s="182">
        <v>2022</v>
      </c>
      <c r="E63" s="182">
        <v>2021</v>
      </c>
      <c r="F63" s="182">
        <v>2020</v>
      </c>
    </row>
    <row r="64" spans="1:6" x14ac:dyDescent="0.2">
      <c r="A64" s="118" t="s">
        <v>259</v>
      </c>
      <c r="B64" s="273">
        <v>1716</v>
      </c>
      <c r="C64" s="273">
        <v>1405</v>
      </c>
      <c r="D64" s="273">
        <v>1088</v>
      </c>
      <c r="E64" s="273">
        <v>1242</v>
      </c>
      <c r="F64" s="273">
        <v>821</v>
      </c>
    </row>
    <row r="65" spans="1:6" x14ac:dyDescent="0.2">
      <c r="A65" s="118" t="s">
        <v>260</v>
      </c>
      <c r="B65" s="273">
        <v>748</v>
      </c>
      <c r="C65" s="273">
        <v>700</v>
      </c>
      <c r="D65" s="273">
        <v>657</v>
      </c>
      <c r="E65" s="273">
        <v>476</v>
      </c>
      <c r="F65" s="273">
        <v>503</v>
      </c>
    </row>
    <row r="66" spans="1:6" x14ac:dyDescent="0.2">
      <c r="A66" s="118" t="s">
        <v>261</v>
      </c>
      <c r="B66" s="273">
        <v>629</v>
      </c>
      <c r="C66" s="273">
        <v>521</v>
      </c>
      <c r="D66" s="273">
        <v>359</v>
      </c>
      <c r="E66" s="273">
        <v>431</v>
      </c>
      <c r="F66" s="273">
        <v>378</v>
      </c>
    </row>
    <row r="67" spans="1:6" x14ac:dyDescent="0.2">
      <c r="A67" s="118" t="s">
        <v>262</v>
      </c>
      <c r="B67" s="273">
        <v>324</v>
      </c>
      <c r="C67" s="273">
        <v>307</v>
      </c>
      <c r="D67" s="273">
        <v>240</v>
      </c>
      <c r="E67" s="273">
        <v>226</v>
      </c>
      <c r="F67" s="273">
        <v>214</v>
      </c>
    </row>
    <row r="68" spans="1:6" x14ac:dyDescent="0.2">
      <c r="A68" s="118" t="s">
        <v>263</v>
      </c>
      <c r="B68" s="273">
        <v>586</v>
      </c>
      <c r="C68" s="273">
        <v>294</v>
      </c>
      <c r="D68" s="273">
        <v>333</v>
      </c>
      <c r="E68" s="273">
        <v>327</v>
      </c>
      <c r="F68" s="273">
        <v>125</v>
      </c>
    </row>
    <row r="69" spans="1:6" x14ac:dyDescent="0.2">
      <c r="A69" s="68"/>
      <c r="B69" s="68"/>
      <c r="C69" s="68"/>
      <c r="D69" s="68"/>
      <c r="E69" s="68"/>
      <c r="F69" s="68"/>
    </row>
    <row r="70" spans="1:6" x14ac:dyDescent="0.2">
      <c r="A70" s="115"/>
      <c r="B70" s="115">
        <v>2024</v>
      </c>
      <c r="C70" s="115">
        <v>2023</v>
      </c>
      <c r="D70" s="115">
        <v>2022</v>
      </c>
      <c r="E70" s="115">
        <v>2021</v>
      </c>
      <c r="F70" s="115">
        <v>2020</v>
      </c>
    </row>
    <row r="71" spans="1:6" x14ac:dyDescent="0.2">
      <c r="A71" s="112" t="s">
        <v>264</v>
      </c>
      <c r="B71" s="189">
        <v>1839</v>
      </c>
      <c r="C71" s="189">
        <v>1431</v>
      </c>
      <c r="D71" s="189">
        <v>1129</v>
      </c>
      <c r="E71" s="189">
        <v>1213</v>
      </c>
      <c r="F71" s="189">
        <v>1123</v>
      </c>
    </row>
    <row r="72" spans="1:6" x14ac:dyDescent="0.2">
      <c r="A72" s="112" t="s">
        <v>265</v>
      </c>
      <c r="B72" s="189">
        <v>2168</v>
      </c>
      <c r="C72" s="189">
        <v>1802</v>
      </c>
      <c r="D72" s="189">
        <v>1550</v>
      </c>
      <c r="E72" s="189">
        <v>1490</v>
      </c>
      <c r="F72" s="189">
        <v>904</v>
      </c>
    </row>
    <row r="73" spans="1:6" x14ac:dyDescent="0.2">
      <c r="A73" s="68"/>
      <c r="B73" s="68"/>
      <c r="C73" s="68"/>
      <c r="D73" s="68"/>
      <c r="E73" s="68"/>
      <c r="F73" s="68"/>
    </row>
    <row r="74" spans="1:6" x14ac:dyDescent="0.2">
      <c r="A74" s="68"/>
      <c r="B74" s="68"/>
      <c r="C74" s="68"/>
      <c r="D74" s="68"/>
      <c r="E74" s="68"/>
      <c r="F74" s="68"/>
    </row>
    <row r="75" spans="1:6" x14ac:dyDescent="0.2">
      <c r="A75" s="115"/>
      <c r="B75" s="115">
        <v>2024</v>
      </c>
      <c r="C75" s="115">
        <v>2023</v>
      </c>
      <c r="D75" s="115">
        <v>2022</v>
      </c>
      <c r="E75" s="115">
        <v>2021</v>
      </c>
      <c r="F75" s="115">
        <v>2020</v>
      </c>
    </row>
    <row r="76" spans="1:6" x14ac:dyDescent="0.2">
      <c r="A76" s="112" t="s">
        <v>1</v>
      </c>
      <c r="B76" s="189">
        <v>4007</v>
      </c>
      <c r="C76" s="189">
        <v>3233</v>
      </c>
      <c r="D76" s="189">
        <v>2679</v>
      </c>
      <c r="E76" s="189">
        <v>2703</v>
      </c>
      <c r="F76" s="189">
        <v>2027</v>
      </c>
    </row>
    <row r="77" spans="1:6" x14ac:dyDescent="0.2">
      <c r="A77" s="112" t="s">
        <v>266</v>
      </c>
      <c r="B77" s="274">
        <f>B72/B76</f>
        <v>0.54105315697529321</v>
      </c>
      <c r="C77" s="274">
        <f t="shared" ref="C77:F77" si="1">C72/C76</f>
        <v>0.55737704918032782</v>
      </c>
      <c r="D77" s="274">
        <f t="shared" si="1"/>
        <v>0.5785740948114968</v>
      </c>
      <c r="E77" s="274">
        <f t="shared" si="1"/>
        <v>0.55123936366999626</v>
      </c>
      <c r="F77" s="274">
        <f t="shared" si="1"/>
        <v>0.44597927972372964</v>
      </c>
    </row>
    <row r="78" spans="1:6" x14ac:dyDescent="0.2">
      <c r="A78" s="112" t="s">
        <v>267</v>
      </c>
      <c r="B78" s="274">
        <f>B71/B76</f>
        <v>0.45894684302470679</v>
      </c>
      <c r="C78" s="274">
        <f t="shared" ref="C78:F78" si="2">C71/C76</f>
        <v>0.44262295081967212</v>
      </c>
      <c r="D78" s="274">
        <f t="shared" si="2"/>
        <v>0.42142590518850315</v>
      </c>
      <c r="E78" s="274">
        <f t="shared" si="2"/>
        <v>0.44876063633000368</v>
      </c>
      <c r="F78" s="274">
        <f t="shared" si="2"/>
        <v>0.55402072027627036</v>
      </c>
    </row>
    <row r="81" spans="1:6" x14ac:dyDescent="0.2">
      <c r="A81" s="110" t="s">
        <v>106</v>
      </c>
      <c r="B81" s="110" t="s">
        <v>248</v>
      </c>
      <c r="C81" s="110" t="s">
        <v>249</v>
      </c>
      <c r="D81" s="110" t="s">
        <v>250</v>
      </c>
      <c r="E81" s="110" t="s">
        <v>251</v>
      </c>
      <c r="F81" s="110" t="s">
        <v>252</v>
      </c>
    </row>
    <row r="82" spans="1:6" x14ac:dyDescent="0.2">
      <c r="A82" s="113" t="s">
        <v>49</v>
      </c>
      <c r="B82" s="114">
        <f>B12/B7</f>
        <v>0.2073870726229099</v>
      </c>
      <c r="C82" s="114">
        <f t="shared" ref="C82:F82" si="3">C12/C7</f>
        <v>3.4333436436746058E-2</v>
      </c>
      <c r="D82" s="114">
        <f t="shared" si="3"/>
        <v>0.25046659201194477</v>
      </c>
      <c r="E82" s="114">
        <f t="shared" si="3"/>
        <v>0.23418423973362931</v>
      </c>
      <c r="F82" s="114">
        <f t="shared" si="3"/>
        <v>0.11790823877651702</v>
      </c>
    </row>
  </sheetData>
  <sortState xmlns:xlrd2="http://schemas.microsoft.com/office/spreadsheetml/2017/richdata2" ref="A21:F24">
    <sortCondition ref="A21:A24"/>
  </sortState>
  <mergeCells count="29">
    <mergeCell ref="A3:F3"/>
    <mergeCell ref="A18:F18"/>
    <mergeCell ref="A29:F29"/>
    <mergeCell ref="A40:F40"/>
    <mergeCell ref="A1:Q1"/>
    <mergeCell ref="B19:B20"/>
    <mergeCell ref="C19:C20"/>
    <mergeCell ref="D19:D20"/>
    <mergeCell ref="E19:E20"/>
    <mergeCell ref="F19:F20"/>
    <mergeCell ref="B30:B31"/>
    <mergeCell ref="C30:C31"/>
    <mergeCell ref="D30:D31"/>
    <mergeCell ref="E30:E31"/>
    <mergeCell ref="F30:F31"/>
    <mergeCell ref="B5:B6"/>
    <mergeCell ref="E5:E6"/>
    <mergeCell ref="F5:F6"/>
    <mergeCell ref="A5:A6"/>
    <mergeCell ref="B41:B42"/>
    <mergeCell ref="C41:C42"/>
    <mergeCell ref="D41:D42"/>
    <mergeCell ref="E41:E42"/>
    <mergeCell ref="F41:F42"/>
    <mergeCell ref="A19:A20"/>
    <mergeCell ref="A30:A31"/>
    <mergeCell ref="A41:A42"/>
    <mergeCell ref="C5:C6"/>
    <mergeCell ref="D5:D6"/>
  </mergeCells>
  <conditionalFormatting sqref="A2:F5 A7:F15 A17:F19 A21:F30 A32:F41 A43:F61">
    <cfRule type="cellIs" dxfId="1" priority="3" operator="lessThan">
      <formula>0</formula>
    </cfRule>
  </conditionalFormatting>
  <conditionalFormatting sqref="A81:F82">
    <cfRule type="cellIs" dxfId="0" priority="1" operator="lessThan">
      <formula>0</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1B99-DE87-4414-9A91-8D8DF11EB8C3}">
  <dimension ref="A1:G54"/>
  <sheetViews>
    <sheetView zoomScale="87" workbookViewId="0">
      <selection activeCell="G8" sqref="G8"/>
    </sheetView>
  </sheetViews>
  <sheetFormatPr baseColWidth="10" defaultColWidth="8.6640625" defaultRowHeight="15" x14ac:dyDescent="0.2"/>
  <cols>
    <col min="1" max="1" width="35" style="10" bestFit="1" customWidth="1"/>
    <col min="2" max="2" width="16.33203125" style="10" bestFit="1" customWidth="1"/>
    <col min="3" max="6" width="15.5" style="10" bestFit="1" customWidth="1"/>
  </cols>
  <sheetData>
    <row r="1" spans="1:7" ht="28" thickBot="1" x14ac:dyDescent="0.4">
      <c r="A1" s="294" t="s">
        <v>14</v>
      </c>
      <c r="B1" s="295"/>
      <c r="C1" s="295"/>
      <c r="D1" s="295"/>
      <c r="E1" s="295"/>
      <c r="F1" s="296"/>
      <c r="G1" t="s">
        <v>337</v>
      </c>
    </row>
    <row r="2" spans="1:7" x14ac:dyDescent="0.2">
      <c r="A2" s="297" t="s">
        <v>216</v>
      </c>
      <c r="B2" s="297"/>
      <c r="C2" s="297"/>
      <c r="D2" s="297"/>
      <c r="E2" s="297"/>
      <c r="F2" s="297"/>
    </row>
    <row r="3" spans="1:7" x14ac:dyDescent="0.2">
      <c r="A3" s="137" t="s">
        <v>268</v>
      </c>
      <c r="B3" s="136" t="s">
        <v>223</v>
      </c>
      <c r="C3" s="136" t="s">
        <v>224</v>
      </c>
      <c r="D3" s="136" t="s">
        <v>225</v>
      </c>
      <c r="E3" s="136" t="s">
        <v>226</v>
      </c>
      <c r="F3" s="136" t="s">
        <v>227</v>
      </c>
    </row>
    <row r="4" spans="1:7" x14ac:dyDescent="0.2">
      <c r="A4" s="134" t="s">
        <v>269</v>
      </c>
      <c r="B4" s="173">
        <v>2894.3</v>
      </c>
      <c r="C4" s="173">
        <v>2161.6999999999998</v>
      </c>
      <c r="D4" s="173">
        <v>2263.9</v>
      </c>
      <c r="E4" s="173">
        <v>1587.4</v>
      </c>
      <c r="F4" s="173">
        <v>1339.3</v>
      </c>
    </row>
    <row r="5" spans="1:7" x14ac:dyDescent="0.2">
      <c r="A5" s="134" t="s">
        <v>270</v>
      </c>
      <c r="B5" s="173">
        <v>1270</v>
      </c>
      <c r="C5" s="173">
        <v>986.6</v>
      </c>
      <c r="D5" s="173">
        <v>915.5</v>
      </c>
      <c r="E5" s="173">
        <v>767.9</v>
      </c>
      <c r="F5" s="173">
        <v>628.1</v>
      </c>
    </row>
    <row r="6" spans="1:7" x14ac:dyDescent="0.2">
      <c r="A6" s="134" t="s">
        <v>271</v>
      </c>
      <c r="B6" s="173">
        <v>1624.3</v>
      </c>
      <c r="C6" s="173">
        <v>1175.0999999999999</v>
      </c>
      <c r="D6" s="173">
        <v>1348.4</v>
      </c>
      <c r="E6" s="173">
        <v>819.5</v>
      </c>
      <c r="F6" s="173">
        <v>711.1</v>
      </c>
    </row>
    <row r="7" spans="1:7" x14ac:dyDescent="0.2">
      <c r="A7" s="134" t="s">
        <v>272</v>
      </c>
      <c r="B7" s="173">
        <v>1322.1</v>
      </c>
      <c r="C7" s="173">
        <v>921.5</v>
      </c>
      <c r="D7" s="173">
        <v>1121.3</v>
      </c>
      <c r="E7" s="173">
        <v>650</v>
      </c>
      <c r="F7" s="173">
        <v>566.79999999999995</v>
      </c>
    </row>
    <row r="8" spans="1:7" x14ac:dyDescent="0.2">
      <c r="A8" s="134" t="s">
        <v>273</v>
      </c>
      <c r="B8" s="173">
        <v>1594</v>
      </c>
      <c r="C8" s="173">
        <v>1224</v>
      </c>
      <c r="D8" s="173">
        <v>1389</v>
      </c>
      <c r="E8" s="173">
        <v>948</v>
      </c>
      <c r="F8" s="173">
        <v>838</v>
      </c>
    </row>
    <row r="9" spans="1:7" x14ac:dyDescent="0.2">
      <c r="A9" s="134" t="s">
        <v>274</v>
      </c>
      <c r="B9" s="173">
        <v>1405.8</v>
      </c>
      <c r="C9" s="173">
        <v>979</v>
      </c>
      <c r="D9" s="173">
        <v>1144</v>
      </c>
      <c r="E9" s="173">
        <v>663.1</v>
      </c>
      <c r="F9" s="173">
        <v>585</v>
      </c>
    </row>
    <row r="10" spans="1:7" x14ac:dyDescent="0.2">
      <c r="A10" s="134" t="s">
        <v>71</v>
      </c>
      <c r="B10" s="173">
        <v>1016</v>
      </c>
      <c r="C10" s="173">
        <v>825</v>
      </c>
      <c r="D10" s="173">
        <v>1016</v>
      </c>
      <c r="E10" s="173">
        <v>597</v>
      </c>
      <c r="F10" s="173">
        <v>517</v>
      </c>
    </row>
    <row r="11" spans="1:7" x14ac:dyDescent="0.2">
      <c r="A11" s="7"/>
      <c r="B11" s="9" t="s">
        <v>275</v>
      </c>
      <c r="C11" s="9" t="s">
        <v>275</v>
      </c>
      <c r="D11" s="9" t="s">
        <v>275</v>
      </c>
      <c r="E11" s="9" t="s">
        <v>275</v>
      </c>
      <c r="F11" s="9" t="s">
        <v>275</v>
      </c>
    </row>
    <row r="12" spans="1:7" x14ac:dyDescent="0.2">
      <c r="A12" s="7"/>
      <c r="B12" s="9" t="s">
        <v>275</v>
      </c>
      <c r="C12" s="9" t="s">
        <v>275</v>
      </c>
      <c r="D12" s="9" t="s">
        <v>275</v>
      </c>
      <c r="E12" s="9" t="s">
        <v>275</v>
      </c>
      <c r="F12" s="9" t="s">
        <v>275</v>
      </c>
    </row>
    <row r="13" spans="1:7" x14ac:dyDescent="0.2">
      <c r="A13" s="137"/>
      <c r="B13" s="138" t="s">
        <v>223</v>
      </c>
      <c r="C13" s="138" t="s">
        <v>224</v>
      </c>
      <c r="D13" s="138" t="s">
        <v>225</v>
      </c>
      <c r="E13" s="138" t="s">
        <v>226</v>
      </c>
      <c r="F13" s="138" t="s">
        <v>227</v>
      </c>
    </row>
    <row r="14" spans="1:7" x14ac:dyDescent="0.2">
      <c r="A14" s="139" t="s">
        <v>49</v>
      </c>
      <c r="B14" s="140">
        <f>B7/B4</f>
        <v>0.45679438897142655</v>
      </c>
      <c r="C14" s="140">
        <f>C7/C4</f>
        <v>0.42628486839061852</v>
      </c>
      <c r="D14" s="140">
        <f>D7/D4</f>
        <v>0.49529572860992088</v>
      </c>
      <c r="E14" s="140">
        <f>E7/E4</f>
        <v>0.4094746125740204</v>
      </c>
      <c r="F14" s="140">
        <f>F7/F4</f>
        <v>0.42320615246770699</v>
      </c>
    </row>
    <row r="15" spans="1:7" x14ac:dyDescent="0.2">
      <c r="A15" s="135" t="s">
        <v>50</v>
      </c>
      <c r="B15" s="140">
        <f>B6/B4</f>
        <v>0.56120650934595584</v>
      </c>
      <c r="C15" s="140">
        <f>C6/C4</f>
        <v>0.54359994448813431</v>
      </c>
      <c r="D15" s="140">
        <f>D6/D4</f>
        <v>0.59560934670259291</v>
      </c>
      <c r="E15" s="140">
        <f>E6/E4</f>
        <v>0.51625299231447652</v>
      </c>
      <c r="F15" s="140">
        <f>F6/F4</f>
        <v>0.53094900321063243</v>
      </c>
    </row>
    <row r="16" spans="1:7" x14ac:dyDescent="0.2">
      <c r="A16" s="135" t="s">
        <v>51</v>
      </c>
      <c r="B16" s="140">
        <f>B10/B4</f>
        <v>0.35103479252323533</v>
      </c>
      <c r="C16" s="140">
        <f>C10/C4</f>
        <v>0.38164407642133508</v>
      </c>
      <c r="D16" s="140">
        <f>D10/D4</f>
        <v>0.44878307345730817</v>
      </c>
      <c r="E16" s="140">
        <f>E10/E4</f>
        <v>0.37608668262567718</v>
      </c>
      <c r="F16" s="140">
        <f>F10/F4</f>
        <v>0.3860225490928097</v>
      </c>
    </row>
    <row r="17" spans="1:6" x14ac:dyDescent="0.2">
      <c r="A17" s="8"/>
      <c r="B17" s="8" t="s">
        <v>275</v>
      </c>
      <c r="C17" s="8"/>
      <c r="D17" s="8"/>
      <c r="E17" s="8"/>
      <c r="F17" s="8"/>
    </row>
    <row r="18" spans="1:6" x14ac:dyDescent="0.2">
      <c r="A18" s="8"/>
      <c r="B18" s="8"/>
      <c r="C18" s="8"/>
      <c r="D18" s="8"/>
      <c r="E18" s="8"/>
      <c r="F18" s="8"/>
    </row>
    <row r="19" spans="1:6" x14ac:dyDescent="0.2">
      <c r="A19" s="138" t="s">
        <v>276</v>
      </c>
      <c r="B19" s="136" t="s">
        <v>277</v>
      </c>
      <c r="C19" s="136" t="s">
        <v>278</v>
      </c>
      <c r="D19" s="136" t="s">
        <v>279</v>
      </c>
      <c r="E19" s="136" t="s">
        <v>280</v>
      </c>
      <c r="F19"/>
    </row>
    <row r="20" spans="1:6" x14ac:dyDescent="0.2">
      <c r="A20" s="134" t="s">
        <v>256</v>
      </c>
      <c r="B20" s="178">
        <f t="shared" ref="B20:E23" si="0">B4/C4-1</f>
        <v>0.33889993986214573</v>
      </c>
      <c r="C20" s="178">
        <f t="shared" si="0"/>
        <v>-4.5143336719819849E-2</v>
      </c>
      <c r="D20" s="178">
        <f t="shared" si="0"/>
        <v>0.42616857754819204</v>
      </c>
      <c r="E20" s="178">
        <f t="shared" si="0"/>
        <v>0.18524602404241031</v>
      </c>
      <c r="F20"/>
    </row>
    <row r="21" spans="1:6" x14ac:dyDescent="0.2">
      <c r="A21" s="134" t="s">
        <v>270</v>
      </c>
      <c r="B21" s="178">
        <f t="shared" si="0"/>
        <v>0.28724913845530109</v>
      </c>
      <c r="C21" s="178">
        <f t="shared" si="0"/>
        <v>7.7662479519388317E-2</v>
      </c>
      <c r="D21" s="178">
        <f t="shared" si="0"/>
        <v>0.19221252767287411</v>
      </c>
      <c r="E21" s="178">
        <f t="shared" si="0"/>
        <v>0.22257602292628564</v>
      </c>
      <c r="F21"/>
    </row>
    <row r="22" spans="1:6" x14ac:dyDescent="0.2">
      <c r="A22" s="134" t="s">
        <v>271</v>
      </c>
      <c r="B22" s="178">
        <f t="shared" si="0"/>
        <v>0.38226533912007499</v>
      </c>
      <c r="C22" s="178">
        <f t="shared" si="0"/>
        <v>-0.12852269356274115</v>
      </c>
      <c r="D22" s="178">
        <f t="shared" si="0"/>
        <v>0.64539353264185495</v>
      </c>
      <c r="E22" s="178">
        <f t="shared" si="0"/>
        <v>0.15243988187315427</v>
      </c>
      <c r="F22"/>
    </row>
    <row r="23" spans="1:6" x14ac:dyDescent="0.2">
      <c r="A23" s="134" t="s">
        <v>272</v>
      </c>
      <c r="B23" s="178">
        <f t="shared" si="0"/>
        <v>0.43472599023331515</v>
      </c>
      <c r="C23" s="178">
        <f t="shared" si="0"/>
        <v>-0.17818603406760003</v>
      </c>
      <c r="D23" s="178">
        <f t="shared" si="0"/>
        <v>0.72507692307692295</v>
      </c>
      <c r="E23" s="178">
        <f t="shared" si="0"/>
        <v>0.14678899082568808</v>
      </c>
      <c r="F23"/>
    </row>
    <row r="24" spans="1:6" x14ac:dyDescent="0.2">
      <c r="A24" s="134" t="s">
        <v>274</v>
      </c>
      <c r="B24" s="178">
        <f>B9/C9-1</f>
        <v>0.43595505617977515</v>
      </c>
      <c r="C24" s="178">
        <f>C9/D9-1</f>
        <v>-0.14423076923076927</v>
      </c>
      <c r="D24" s="178">
        <f>D9/E9-1</f>
        <v>0.72522998039511388</v>
      </c>
      <c r="E24" s="178">
        <f>E9/F9-1</f>
        <v>0.13350427350427352</v>
      </c>
      <c r="F24"/>
    </row>
    <row r="25" spans="1:6" x14ac:dyDescent="0.2">
      <c r="A25" s="8"/>
      <c r="B25" s="8" t="s">
        <v>275</v>
      </c>
      <c r="C25" s="8" t="s">
        <v>275</v>
      </c>
      <c r="D25" s="8" t="s">
        <v>275</v>
      </c>
      <c r="E25" s="8" t="s">
        <v>275</v>
      </c>
      <c r="F25" s="8" t="s">
        <v>275</v>
      </c>
    </row>
    <row r="26" spans="1:6" x14ac:dyDescent="0.2">
      <c r="A26" s="8"/>
      <c r="B26" s="8"/>
      <c r="C26" s="8"/>
      <c r="D26" s="8"/>
      <c r="E26" s="8"/>
      <c r="F26" s="8"/>
    </row>
    <row r="27" spans="1:6" x14ac:dyDescent="0.2">
      <c r="A27" s="138" t="s">
        <v>139</v>
      </c>
      <c r="B27" s="138" t="s">
        <v>223</v>
      </c>
      <c r="C27" s="138" t="s">
        <v>224</v>
      </c>
      <c r="D27" s="138" t="s">
        <v>225</v>
      </c>
      <c r="E27" s="138" t="s">
        <v>226</v>
      </c>
      <c r="F27" s="138" t="s">
        <v>227</v>
      </c>
    </row>
    <row r="28" spans="1:6" x14ac:dyDescent="0.2">
      <c r="A28" s="139" t="s">
        <v>281</v>
      </c>
      <c r="B28" s="173">
        <v>198.9</v>
      </c>
      <c r="C28" s="173">
        <v>179.6</v>
      </c>
      <c r="D28" s="173">
        <v>163.9</v>
      </c>
      <c r="E28" s="173">
        <v>115.5</v>
      </c>
      <c r="F28" s="173">
        <v>97.1</v>
      </c>
    </row>
    <row r="29" spans="1:6" x14ac:dyDescent="0.2">
      <c r="A29" s="134" t="s">
        <v>282</v>
      </c>
      <c r="B29" s="173">
        <v>54.9</v>
      </c>
      <c r="C29" s="173">
        <v>46.8</v>
      </c>
      <c r="D29" s="173">
        <v>41.5</v>
      </c>
      <c r="E29" s="173">
        <v>33.299999999999997</v>
      </c>
      <c r="F29" s="173">
        <v>28.4</v>
      </c>
    </row>
    <row r="30" spans="1:6" x14ac:dyDescent="0.2">
      <c r="A30" s="135" t="s">
        <v>283</v>
      </c>
      <c r="B30" s="177">
        <v>-1.2</v>
      </c>
      <c r="C30" s="173">
        <v>0.2</v>
      </c>
      <c r="D30" s="177">
        <v>-0.4</v>
      </c>
      <c r="E30" s="177">
        <v>-0.3</v>
      </c>
      <c r="F30" s="177">
        <v>-0.2</v>
      </c>
    </row>
    <row r="31" spans="1:6" x14ac:dyDescent="0.2">
      <c r="A31" s="135" t="s">
        <v>54</v>
      </c>
      <c r="B31" s="173">
        <f>SUM(B28:B30)</f>
        <v>252.60000000000002</v>
      </c>
      <c r="C31" s="173">
        <f t="shared" ref="C31:F31" si="1">SUM(C28:C30)</f>
        <v>226.59999999999997</v>
      </c>
      <c r="D31" s="173">
        <f t="shared" si="1"/>
        <v>205</v>
      </c>
      <c r="E31" s="173">
        <f t="shared" si="1"/>
        <v>148.5</v>
      </c>
      <c r="F31" s="173">
        <f t="shared" si="1"/>
        <v>125.3</v>
      </c>
    </row>
    <row r="32" spans="1:6" x14ac:dyDescent="0.2">
      <c r="A32" s="7" t="s">
        <v>275</v>
      </c>
      <c r="B32" s="9" t="s">
        <v>275</v>
      </c>
      <c r="C32" s="9" t="s">
        <v>275</v>
      </c>
      <c r="D32" s="9" t="s">
        <v>275</v>
      </c>
      <c r="E32" s="9" t="s">
        <v>275</v>
      </c>
      <c r="F32" s="9" t="s">
        <v>275</v>
      </c>
    </row>
    <row r="33" spans="1:6" x14ac:dyDescent="0.2">
      <c r="A33" s="7"/>
      <c r="B33" s="9"/>
      <c r="C33" s="9"/>
      <c r="D33" s="9"/>
      <c r="E33" s="9"/>
      <c r="F33" s="9"/>
    </row>
    <row r="34" spans="1:6" x14ac:dyDescent="0.2">
      <c r="A34" s="137" t="s">
        <v>284</v>
      </c>
      <c r="B34" s="138" t="s">
        <v>223</v>
      </c>
      <c r="C34" s="138" t="s">
        <v>224</v>
      </c>
      <c r="D34" s="138" t="s">
        <v>225</v>
      </c>
      <c r="E34" s="138" t="s">
        <v>226</v>
      </c>
      <c r="F34" s="138" t="s">
        <v>227</v>
      </c>
    </row>
    <row r="35" spans="1:6" x14ac:dyDescent="0.2">
      <c r="A35" s="134" t="s">
        <v>285</v>
      </c>
      <c r="B35" s="177">
        <v>-635.9</v>
      </c>
      <c r="C35" s="177">
        <v>-545.70000000000005</v>
      </c>
      <c r="D35" s="177">
        <v>-450.9</v>
      </c>
      <c r="E35" s="177">
        <v>-301.10000000000002</v>
      </c>
      <c r="F35" s="177">
        <v>-294.10000000000002</v>
      </c>
    </row>
    <row r="36" spans="1:6" x14ac:dyDescent="0.2">
      <c r="A36" s="139" t="s">
        <v>286</v>
      </c>
      <c r="B36" s="177">
        <v>-6.1</v>
      </c>
      <c r="C36" s="177">
        <v>-6</v>
      </c>
      <c r="D36" s="177">
        <v>-5.7</v>
      </c>
      <c r="E36" s="177">
        <v>-6.6</v>
      </c>
      <c r="F36" s="177">
        <v>-5</v>
      </c>
    </row>
    <row r="37" spans="1:6" x14ac:dyDescent="0.2">
      <c r="A37" s="139" t="s">
        <v>287</v>
      </c>
      <c r="B37" s="177">
        <v>-47.6</v>
      </c>
      <c r="C37" s="177">
        <v>-33.200000000000003</v>
      </c>
      <c r="D37" s="177">
        <v>-27.4</v>
      </c>
      <c r="E37" s="177">
        <v>-24.2</v>
      </c>
      <c r="F37" s="177">
        <v>-49.7</v>
      </c>
    </row>
    <row r="38" spans="1:6" x14ac:dyDescent="0.2">
      <c r="A38" s="139" t="s">
        <v>146</v>
      </c>
      <c r="B38" s="175">
        <f>SUM(B35:B37)</f>
        <v>-689.6</v>
      </c>
      <c r="C38" s="175">
        <f t="shared" ref="C38:F38" si="2">SUM(C35:C37)</f>
        <v>-584.90000000000009</v>
      </c>
      <c r="D38" s="175">
        <f t="shared" si="2"/>
        <v>-483.99999999999994</v>
      </c>
      <c r="E38" s="175">
        <f t="shared" si="2"/>
        <v>-331.90000000000003</v>
      </c>
      <c r="F38" s="175">
        <f t="shared" si="2"/>
        <v>-348.8</v>
      </c>
    </row>
    <row r="40" spans="1:6" x14ac:dyDescent="0.2">
      <c r="A40" s="138" t="s">
        <v>288</v>
      </c>
      <c r="B40" s="136" t="s">
        <v>223</v>
      </c>
      <c r="C40" s="136" t="s">
        <v>224</v>
      </c>
      <c r="D40" s="136" t="s">
        <v>225</v>
      </c>
      <c r="E40" s="136" t="s">
        <v>226</v>
      </c>
      <c r="F40" s="136" t="s">
        <v>227</v>
      </c>
    </row>
    <row r="41" spans="1:6" x14ac:dyDescent="0.2">
      <c r="A41" s="135" t="s">
        <v>289</v>
      </c>
      <c r="B41" s="175">
        <v>1826.2</v>
      </c>
      <c r="C41" s="175">
        <v>1242</v>
      </c>
      <c r="D41" s="175">
        <v>1610.6</v>
      </c>
      <c r="E41" s="175">
        <v>1112.2</v>
      </c>
      <c r="F41" s="176">
        <v>822.7</v>
      </c>
    </row>
    <row r="42" spans="1:6" x14ac:dyDescent="0.2">
      <c r="A42" s="139" t="s">
        <v>290</v>
      </c>
      <c r="B42" s="177">
        <v>-1014.9</v>
      </c>
      <c r="C42" s="177">
        <v>-906.1</v>
      </c>
      <c r="D42" s="177">
        <v>-1190.9000000000001</v>
      </c>
      <c r="E42" s="177">
        <v>-836.4</v>
      </c>
      <c r="F42" s="177">
        <v>-505.8</v>
      </c>
    </row>
    <row r="43" spans="1:6" x14ac:dyDescent="0.2">
      <c r="A43" s="139" t="s">
        <v>291</v>
      </c>
      <c r="B43" s="177">
        <v>-1999.4</v>
      </c>
      <c r="C43" s="177">
        <v>-2102.8000000000002</v>
      </c>
      <c r="D43" s="177">
        <v>-3631.2</v>
      </c>
      <c r="E43" s="177">
        <v>-2038.5</v>
      </c>
      <c r="F43" s="177">
        <v>-1840.2</v>
      </c>
    </row>
    <row r="44" spans="1:6" x14ac:dyDescent="0.2">
      <c r="A44" s="135" t="s">
        <v>292</v>
      </c>
      <c r="B44" s="175">
        <f>B41-ABS(B42)</f>
        <v>811.30000000000007</v>
      </c>
      <c r="C44" s="175">
        <f t="shared" ref="C44:F44" si="3">C41-ABS(C42)</f>
        <v>335.9</v>
      </c>
      <c r="D44" s="175">
        <f t="shared" si="3"/>
        <v>419.69999999999982</v>
      </c>
      <c r="E44" s="175">
        <f t="shared" si="3"/>
        <v>275.80000000000007</v>
      </c>
      <c r="F44" s="175">
        <f t="shared" si="3"/>
        <v>316.90000000000003</v>
      </c>
    </row>
    <row r="45" spans="1:6" x14ac:dyDescent="0.2">
      <c r="A45" s="8"/>
      <c r="B45" s="8"/>
      <c r="C45" s="8"/>
      <c r="D45" s="8"/>
      <c r="E45" s="8"/>
      <c r="F45" s="8"/>
    </row>
    <row r="47" spans="1:6" x14ac:dyDescent="0.2">
      <c r="A47" s="138" t="s">
        <v>293</v>
      </c>
      <c r="B47" s="136" t="s">
        <v>294</v>
      </c>
      <c r="C47" s="136" t="s">
        <v>295</v>
      </c>
      <c r="D47" s="136" t="s">
        <v>296</v>
      </c>
      <c r="E47" s="136" t="s">
        <v>297</v>
      </c>
      <c r="F47" s="136" t="s">
        <v>298</v>
      </c>
    </row>
    <row r="48" spans="1:6" x14ac:dyDescent="0.2">
      <c r="A48" s="135" t="s">
        <v>299</v>
      </c>
      <c r="B48" s="174">
        <v>45502.2</v>
      </c>
      <c r="C48" s="174">
        <v>30100</v>
      </c>
      <c r="D48" s="174">
        <v>31283</v>
      </c>
      <c r="E48" s="174">
        <v>20979</v>
      </c>
      <c r="F48" s="174">
        <v>15015</v>
      </c>
    </row>
    <row r="49" spans="1:6" x14ac:dyDescent="0.2">
      <c r="A49" s="135" t="s">
        <v>300</v>
      </c>
      <c r="B49" s="174">
        <v>31227</v>
      </c>
      <c r="C49" s="174">
        <v>26600</v>
      </c>
      <c r="D49" s="174">
        <v>29757</v>
      </c>
      <c r="E49" s="174">
        <v>24948</v>
      </c>
      <c r="F49" s="174">
        <v>21840</v>
      </c>
    </row>
    <row r="50" spans="1:6" x14ac:dyDescent="0.2">
      <c r="A50" s="135" t="s">
        <v>301</v>
      </c>
      <c r="B50" s="174">
        <v>5353.2</v>
      </c>
      <c r="C50" s="174">
        <v>5600</v>
      </c>
      <c r="D50" s="174">
        <v>6867</v>
      </c>
      <c r="E50" s="174">
        <v>4536</v>
      </c>
      <c r="F50" s="174">
        <v>3640</v>
      </c>
    </row>
    <row r="51" spans="1:6" x14ac:dyDescent="0.2">
      <c r="A51" s="135" t="s">
        <v>39</v>
      </c>
      <c r="B51" s="174">
        <v>4461</v>
      </c>
      <c r="C51" s="174">
        <v>4200</v>
      </c>
      <c r="D51" s="174">
        <v>3815</v>
      </c>
      <c r="E51" s="174">
        <v>2268</v>
      </c>
      <c r="F51" s="174">
        <v>1365</v>
      </c>
    </row>
    <row r="52" spans="1:6" x14ac:dyDescent="0.2">
      <c r="A52" s="135" t="s">
        <v>302</v>
      </c>
      <c r="B52" s="174">
        <v>892.2</v>
      </c>
      <c r="C52" s="174">
        <v>1400</v>
      </c>
      <c r="D52" s="174">
        <v>2289</v>
      </c>
      <c r="E52" s="174">
        <v>2268</v>
      </c>
      <c r="F52" s="174">
        <v>1820</v>
      </c>
    </row>
    <row r="53" spans="1:6" x14ac:dyDescent="0.2">
      <c r="A53" s="135" t="s">
        <v>303</v>
      </c>
      <c r="B53" s="174">
        <v>1784.4</v>
      </c>
      <c r="C53" s="174">
        <v>2100</v>
      </c>
      <c r="D53" s="174">
        <v>2289</v>
      </c>
      <c r="E53" s="174">
        <v>1701</v>
      </c>
      <c r="F53" s="174">
        <v>1820</v>
      </c>
    </row>
    <row r="54" spans="1:6" x14ac:dyDescent="0.2">
      <c r="A54" s="135" t="s">
        <v>146</v>
      </c>
      <c r="B54" s="174">
        <v>89220</v>
      </c>
      <c r="C54" s="174">
        <v>70000</v>
      </c>
      <c r="D54" s="174">
        <v>76300</v>
      </c>
      <c r="E54" s="174">
        <v>56700</v>
      </c>
      <c r="F54" s="174">
        <v>45500</v>
      </c>
    </row>
  </sheetData>
  <mergeCells count="2">
    <mergeCell ref="A2:F2"/>
    <mergeCell ref="A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0EE5-33FB-4B51-A5A4-FB725E7C0669}">
  <dimension ref="A1:AL69"/>
  <sheetViews>
    <sheetView zoomScale="86" workbookViewId="0">
      <selection activeCell="G4" sqref="G4"/>
    </sheetView>
  </sheetViews>
  <sheetFormatPr baseColWidth="10" defaultColWidth="8.6640625" defaultRowHeight="15" x14ac:dyDescent="0.2"/>
  <cols>
    <col min="1" max="1" width="58.1640625" bestFit="1" customWidth="1"/>
    <col min="2" max="2" width="17" customWidth="1"/>
    <col min="3" max="3" width="19.1640625" customWidth="1"/>
    <col min="4" max="4" width="19.5" customWidth="1"/>
    <col min="5" max="5" width="18.5" customWidth="1"/>
    <col min="6" max="6" width="20" customWidth="1"/>
    <col min="7" max="7" width="13.6640625" customWidth="1"/>
    <col min="17" max="17" width="8.6640625" bestFit="1" customWidth="1"/>
  </cols>
  <sheetData>
    <row r="1" spans="1:38" ht="28" thickBot="1" x14ac:dyDescent="0.4">
      <c r="A1" s="294" t="s">
        <v>47</v>
      </c>
      <c r="B1" s="295"/>
      <c r="C1" s="295"/>
      <c r="D1" s="295"/>
      <c r="E1" s="295"/>
      <c r="F1" s="296"/>
      <c r="G1" t="s">
        <v>336</v>
      </c>
    </row>
    <row r="3" spans="1:38" ht="14.75" customHeight="1" x14ac:dyDescent="0.2">
      <c r="A3" s="275" t="s">
        <v>304</v>
      </c>
      <c r="B3" s="275"/>
      <c r="C3" s="275"/>
      <c r="D3" s="275"/>
      <c r="E3" s="275"/>
      <c r="F3" s="275"/>
    </row>
    <row r="4" spans="1:38" x14ac:dyDescent="0.2">
      <c r="A4" s="284" t="s">
        <v>305</v>
      </c>
      <c r="B4" s="284">
        <v>2024</v>
      </c>
      <c r="C4" s="284">
        <v>2023</v>
      </c>
      <c r="D4" s="284">
        <v>2022</v>
      </c>
      <c r="E4" s="284">
        <v>2021</v>
      </c>
      <c r="F4" s="284">
        <v>2020</v>
      </c>
    </row>
    <row r="5" spans="1:38" x14ac:dyDescent="0.2">
      <c r="A5" s="281" t="s">
        <v>181</v>
      </c>
      <c r="B5" s="141">
        <v>53101</v>
      </c>
      <c r="C5" s="282">
        <v>54228</v>
      </c>
      <c r="D5" s="141">
        <v>63054</v>
      </c>
      <c r="E5" s="141">
        <v>79024</v>
      </c>
      <c r="F5" s="283">
        <v>77867</v>
      </c>
    </row>
    <row r="6" spans="1:38" x14ac:dyDescent="0.2">
      <c r="A6" s="147" t="s">
        <v>124</v>
      </c>
      <c r="B6" s="142">
        <v>34877</v>
      </c>
      <c r="C6" s="142">
        <v>31282</v>
      </c>
      <c r="D6" s="143">
        <v>34608</v>
      </c>
      <c r="E6" s="143">
        <v>35209</v>
      </c>
      <c r="F6" s="143">
        <v>34255</v>
      </c>
      <c r="AL6" s="11"/>
    </row>
    <row r="7" spans="1:38" x14ac:dyDescent="0.2">
      <c r="A7" s="147" t="s">
        <v>66</v>
      </c>
      <c r="B7" s="142">
        <v>18224</v>
      </c>
      <c r="C7" s="142">
        <v>22946</v>
      </c>
      <c r="D7" s="143">
        <v>28446</v>
      </c>
      <c r="E7" s="143">
        <v>43815</v>
      </c>
      <c r="F7" s="143">
        <v>43612</v>
      </c>
    </row>
    <row r="8" spans="1:38" x14ac:dyDescent="0.2">
      <c r="A8" s="147" t="s">
        <v>306</v>
      </c>
      <c r="B8" s="144">
        <v>0.34</v>
      </c>
      <c r="C8" s="144">
        <v>0.42</v>
      </c>
      <c r="D8" s="144">
        <v>0.45</v>
      </c>
      <c r="E8" s="144">
        <v>0.55000000000000004</v>
      </c>
      <c r="F8" s="144">
        <v>0.56000000000000005</v>
      </c>
      <c r="S8" s="11"/>
      <c r="AL8" s="11"/>
    </row>
    <row r="9" spans="1:38" x14ac:dyDescent="0.2">
      <c r="A9" s="147" t="s">
        <v>307</v>
      </c>
      <c r="B9" s="142">
        <v>22053</v>
      </c>
      <c r="C9" s="142">
        <v>21680</v>
      </c>
      <c r="D9" s="142">
        <v>24530</v>
      </c>
      <c r="E9" s="142">
        <v>21733</v>
      </c>
      <c r="F9" s="142">
        <v>19736</v>
      </c>
      <c r="S9" s="11"/>
      <c r="AL9" s="12"/>
    </row>
    <row r="10" spans="1:38" x14ac:dyDescent="0.2">
      <c r="A10" s="147" t="s">
        <v>126</v>
      </c>
      <c r="B10" s="143">
        <v>-3829</v>
      </c>
      <c r="C10" s="143">
        <v>1266</v>
      </c>
      <c r="D10" s="143">
        <v>3916</v>
      </c>
      <c r="E10" s="143">
        <v>22082</v>
      </c>
      <c r="F10" s="143">
        <v>23876</v>
      </c>
      <c r="S10" s="12"/>
    </row>
    <row r="11" spans="1:38" x14ac:dyDescent="0.2">
      <c r="A11" s="147" t="s">
        <v>308</v>
      </c>
      <c r="B11" s="145">
        <v>-7.0000000000000007E-2</v>
      </c>
      <c r="C11" s="145">
        <v>0.02</v>
      </c>
      <c r="D11" s="145">
        <v>0.06</v>
      </c>
      <c r="E11" s="145">
        <v>0.28000000000000003</v>
      </c>
      <c r="F11" s="145">
        <v>0.31</v>
      </c>
      <c r="S11" s="12"/>
    </row>
    <row r="12" spans="1:38" x14ac:dyDescent="0.2">
      <c r="A12" s="147" t="s">
        <v>127</v>
      </c>
      <c r="B12" s="143">
        <v>-1100</v>
      </c>
      <c r="C12" s="143">
        <v>306</v>
      </c>
      <c r="D12" s="143">
        <v>420</v>
      </c>
      <c r="E12" s="143">
        <v>263</v>
      </c>
      <c r="F12" s="143">
        <v>214</v>
      </c>
    </row>
    <row r="13" spans="1:38" x14ac:dyDescent="0.2">
      <c r="A13" s="147" t="s">
        <v>128</v>
      </c>
      <c r="B13" s="143">
        <v>-900</v>
      </c>
      <c r="C13" s="143">
        <v>-700</v>
      </c>
      <c r="D13" s="143">
        <v>-500</v>
      </c>
      <c r="E13" s="143">
        <v>-400</v>
      </c>
      <c r="F13" s="143">
        <v>-400</v>
      </c>
    </row>
    <row r="14" spans="1:38" x14ac:dyDescent="0.2">
      <c r="A14" s="147" t="s">
        <v>71</v>
      </c>
      <c r="B14" s="146">
        <v>-18756</v>
      </c>
      <c r="C14" s="146">
        <v>1689</v>
      </c>
      <c r="D14" s="146">
        <v>8014</v>
      </c>
      <c r="E14" s="146">
        <v>19868</v>
      </c>
      <c r="F14" s="146">
        <v>20899</v>
      </c>
    </row>
    <row r="15" spans="1:38" x14ac:dyDescent="0.2">
      <c r="A15" s="147" t="s">
        <v>309</v>
      </c>
      <c r="B15" s="146">
        <v>-18900</v>
      </c>
      <c r="C15" s="146">
        <v>1700</v>
      </c>
      <c r="D15" s="146">
        <v>8100</v>
      </c>
      <c r="E15" s="146">
        <v>19950</v>
      </c>
      <c r="F15" s="146">
        <v>21000</v>
      </c>
    </row>
    <row r="16" spans="1:38" x14ac:dyDescent="0.2">
      <c r="A16" s="147" t="s">
        <v>310</v>
      </c>
      <c r="B16" s="145">
        <v>-0.35</v>
      </c>
      <c r="C16" s="145">
        <v>0.03</v>
      </c>
      <c r="D16" s="145">
        <v>0.13</v>
      </c>
      <c r="E16" s="145">
        <v>0.25</v>
      </c>
      <c r="F16" s="145">
        <v>0.27</v>
      </c>
    </row>
    <row r="17" spans="1:38" ht="14.75" customHeight="1" x14ac:dyDescent="0.2"/>
    <row r="18" spans="1:38" x14ac:dyDescent="0.2">
      <c r="A18" s="284" t="s">
        <v>122</v>
      </c>
      <c r="B18" s="284">
        <v>2024</v>
      </c>
      <c r="C18" s="284">
        <v>2023</v>
      </c>
      <c r="D18" s="284">
        <v>2022</v>
      </c>
      <c r="E18" s="284">
        <v>2021</v>
      </c>
      <c r="F18" s="284">
        <v>2020</v>
      </c>
      <c r="G18" s="284">
        <v>2019</v>
      </c>
    </row>
    <row r="19" spans="1:38" x14ac:dyDescent="0.2">
      <c r="A19" s="147" t="s">
        <v>193</v>
      </c>
      <c r="B19" s="142">
        <v>53101</v>
      </c>
      <c r="C19" s="142">
        <v>54228</v>
      </c>
      <c r="D19" s="148">
        <v>63054</v>
      </c>
      <c r="E19" s="148">
        <v>79024</v>
      </c>
      <c r="F19" s="148">
        <v>77867</v>
      </c>
      <c r="G19" s="148">
        <v>71965</v>
      </c>
    </row>
    <row r="20" spans="1:38" x14ac:dyDescent="0.2">
      <c r="A20" s="147" t="s">
        <v>23</v>
      </c>
      <c r="B20" s="142">
        <v>34877</v>
      </c>
      <c r="C20" s="142">
        <v>31282</v>
      </c>
      <c r="D20" s="148">
        <v>34608</v>
      </c>
      <c r="E20" s="148">
        <v>35209</v>
      </c>
      <c r="F20" s="148">
        <v>34255</v>
      </c>
      <c r="G20" s="148">
        <v>30186</v>
      </c>
    </row>
    <row r="22" spans="1:38" x14ac:dyDescent="0.2">
      <c r="A22" s="284" t="s">
        <v>130</v>
      </c>
      <c r="B22" s="284" t="s">
        <v>18</v>
      </c>
      <c r="C22" s="284" t="s">
        <v>132</v>
      </c>
      <c r="D22" s="284" t="s">
        <v>20</v>
      </c>
      <c r="E22" s="284" t="s">
        <v>21</v>
      </c>
      <c r="F22" s="284" t="s">
        <v>107</v>
      </c>
    </row>
    <row r="23" spans="1:38" x14ac:dyDescent="0.2">
      <c r="A23" s="147" t="s">
        <v>181</v>
      </c>
      <c r="B23" s="149">
        <f t="shared" ref="B23:F24" si="0">B19/C19-1</f>
        <v>-2.0782621523935951E-2</v>
      </c>
      <c r="C23" s="150">
        <f t="shared" si="0"/>
        <v>-0.13997525930155108</v>
      </c>
      <c r="D23" s="149">
        <f t="shared" si="0"/>
        <v>-0.20209050415063778</v>
      </c>
      <c r="E23" s="149">
        <f t="shared" si="0"/>
        <v>1.4858669269395275E-2</v>
      </c>
      <c r="F23" s="149">
        <f t="shared" si="0"/>
        <v>8.2012089210032668E-2</v>
      </c>
    </row>
    <row r="24" spans="1:38" x14ac:dyDescent="0.2">
      <c r="A24" s="147" t="s">
        <v>23</v>
      </c>
      <c r="B24" s="149">
        <f t="shared" si="0"/>
        <v>0.11492231954478616</v>
      </c>
      <c r="C24" s="150">
        <f t="shared" si="0"/>
        <v>-9.6104946833102223E-2</v>
      </c>
      <c r="D24" s="149">
        <f t="shared" si="0"/>
        <v>-1.7069499275753408E-2</v>
      </c>
      <c r="E24" s="149">
        <f t="shared" si="0"/>
        <v>2.7849948912567424E-2</v>
      </c>
      <c r="F24" s="149">
        <f t="shared" si="0"/>
        <v>0.13479758828596045</v>
      </c>
    </row>
    <row r="25" spans="1:38" x14ac:dyDescent="0.2">
      <c r="A25" s="147" t="s">
        <v>307</v>
      </c>
      <c r="B25" s="149">
        <f>B9/C9-1</f>
        <v>1.720479704797051E-2</v>
      </c>
      <c r="C25" s="150">
        <f>C9/D9-1</f>
        <v>-0.11618426416632699</v>
      </c>
      <c r="D25" s="149">
        <f>D9/E9-1</f>
        <v>0.12869829291860313</v>
      </c>
      <c r="E25" s="149">
        <f>E9/F9-1</f>
        <v>0.10118565058775841</v>
      </c>
      <c r="F25" s="149">
        <f>F9/2237-1</f>
        <v>7.8225301743406348</v>
      </c>
    </row>
    <row r="26" spans="1:38" x14ac:dyDescent="0.2">
      <c r="A26" s="147" t="s">
        <v>66</v>
      </c>
      <c r="B26" s="149">
        <f>B7/C7-1</f>
        <v>-0.20578750108951449</v>
      </c>
      <c r="C26" s="150">
        <f>C7/D7-1</f>
        <v>-0.19334880123743237</v>
      </c>
      <c r="D26" s="149">
        <f>D7/E7-1</f>
        <v>-0.35077028414926392</v>
      </c>
      <c r="E26" s="149">
        <f>E7/F7-1</f>
        <v>4.654682197560378E-3</v>
      </c>
      <c r="F26" s="149">
        <f>F7/2868-1</f>
        <v>14.206415620641563</v>
      </c>
      <c r="S26" s="11"/>
      <c r="AL26" s="11"/>
    </row>
    <row r="27" spans="1:38" x14ac:dyDescent="0.2">
      <c r="A27" s="147" t="s">
        <v>133</v>
      </c>
      <c r="B27" s="149">
        <f>B10/C10-1</f>
        <v>-4.0244865718799367</v>
      </c>
      <c r="C27" s="150">
        <f>C10/D10-1</f>
        <v>-0.67671092951991829</v>
      </c>
      <c r="D27" s="150">
        <f>D10/E10-1</f>
        <v>-0.82266099085227784</v>
      </c>
      <c r="E27" s="149">
        <f>E10/F10-1</f>
        <v>-7.5138214106215462E-2</v>
      </c>
      <c r="F27" s="149">
        <f>F10/631-1</f>
        <v>36.838351822503959</v>
      </c>
      <c r="S27" s="11"/>
    </row>
    <row r="28" spans="1:38" x14ac:dyDescent="0.2">
      <c r="A28" s="147" t="s">
        <v>71</v>
      </c>
      <c r="B28" s="149">
        <f>B14/C14-1</f>
        <v>-12.104795737122558</v>
      </c>
      <c r="C28" s="150">
        <f>C14/D14-1</f>
        <v>-0.78924382330920895</v>
      </c>
      <c r="D28" s="150">
        <f>D14/E14-1</f>
        <v>-0.59663780954298362</v>
      </c>
      <c r="E28" s="149">
        <f>E14/F14-1</f>
        <v>-4.9332503947557282E-2</v>
      </c>
      <c r="F28" s="149">
        <f>F14/341-1</f>
        <v>60.287390029325515</v>
      </c>
      <c r="S28" s="12"/>
      <c r="AL28" s="11"/>
    </row>
    <row r="29" spans="1:38" x14ac:dyDescent="0.2">
      <c r="S29" s="12"/>
      <c r="AL29" s="12"/>
    </row>
    <row r="30" spans="1:38" x14ac:dyDescent="0.2">
      <c r="A30" s="276" t="s">
        <v>139</v>
      </c>
      <c r="B30" s="277"/>
      <c r="C30" s="277"/>
      <c r="D30" s="277"/>
      <c r="E30" s="277"/>
      <c r="F30" s="278"/>
    </row>
    <row r="31" spans="1:38" x14ac:dyDescent="0.2">
      <c r="A31" s="284" t="s">
        <v>122</v>
      </c>
      <c r="B31" s="284">
        <v>2024</v>
      </c>
      <c r="C31" s="284">
        <v>2023</v>
      </c>
      <c r="D31" s="284">
        <v>2022</v>
      </c>
      <c r="E31" s="284">
        <v>2021</v>
      </c>
      <c r="F31" s="284">
        <v>2020</v>
      </c>
    </row>
    <row r="32" spans="1:38" x14ac:dyDescent="0.2">
      <c r="A32" s="147" t="s">
        <v>140</v>
      </c>
      <c r="B32" s="142">
        <v>16546</v>
      </c>
      <c r="C32" s="142">
        <v>16046</v>
      </c>
      <c r="D32" s="142">
        <v>17528</v>
      </c>
      <c r="E32" s="142">
        <v>15190</v>
      </c>
      <c r="F32" s="142">
        <v>13556</v>
      </c>
    </row>
    <row r="33" spans="1:19" x14ac:dyDescent="0.2">
      <c r="A33" s="147" t="s">
        <v>141</v>
      </c>
      <c r="B33" s="142">
        <v>5507</v>
      </c>
      <c r="C33" s="142">
        <v>5634</v>
      </c>
      <c r="D33" s="142">
        <v>7002</v>
      </c>
      <c r="E33" s="142">
        <v>6543</v>
      </c>
      <c r="F33" s="142">
        <v>6180</v>
      </c>
    </row>
    <row r="34" spans="1:19" x14ac:dyDescent="0.2">
      <c r="A34" s="147" t="s">
        <v>142</v>
      </c>
      <c r="B34" s="142">
        <v>300</v>
      </c>
      <c r="C34" s="142">
        <v>350</v>
      </c>
      <c r="D34" s="142">
        <v>400</v>
      </c>
      <c r="E34" s="142" t="s">
        <v>144</v>
      </c>
      <c r="F34" s="142" t="s">
        <v>144</v>
      </c>
    </row>
    <row r="35" spans="1:19" x14ac:dyDescent="0.2">
      <c r="A35" s="147" t="s">
        <v>143</v>
      </c>
      <c r="B35" s="142">
        <v>100</v>
      </c>
      <c r="C35" s="142">
        <v>-50</v>
      </c>
      <c r="D35" s="142">
        <v>150</v>
      </c>
      <c r="E35" s="142">
        <v>20</v>
      </c>
      <c r="F35" s="142" t="s">
        <v>144</v>
      </c>
    </row>
    <row r="36" spans="1:19" x14ac:dyDescent="0.2">
      <c r="A36" s="147" t="s">
        <v>145</v>
      </c>
      <c r="B36" s="142" t="s">
        <v>144</v>
      </c>
      <c r="C36" s="142" t="s">
        <v>144</v>
      </c>
      <c r="D36" s="142">
        <v>100</v>
      </c>
      <c r="E36" s="142" t="s">
        <v>144</v>
      </c>
      <c r="F36" s="142" t="s">
        <v>144</v>
      </c>
    </row>
    <row r="38" spans="1:19" x14ac:dyDescent="0.2">
      <c r="A38" s="276" t="s">
        <v>196</v>
      </c>
      <c r="B38" s="277"/>
      <c r="C38" s="277"/>
      <c r="D38" s="277"/>
      <c r="E38" s="277"/>
      <c r="F38" s="278"/>
    </row>
    <row r="39" spans="1:19" x14ac:dyDescent="0.2">
      <c r="A39" s="284" t="s">
        <v>122</v>
      </c>
      <c r="B39" s="284">
        <v>2024</v>
      </c>
      <c r="C39" s="284">
        <v>2023</v>
      </c>
      <c r="D39" s="284">
        <v>2022</v>
      </c>
      <c r="E39" s="284">
        <v>2021</v>
      </c>
      <c r="F39" s="284">
        <v>2020</v>
      </c>
    </row>
    <row r="40" spans="1:19" x14ac:dyDescent="0.2">
      <c r="A40" s="147" t="s">
        <v>152</v>
      </c>
      <c r="B40" s="142">
        <v>-23944</v>
      </c>
      <c r="C40" s="142">
        <v>-25750</v>
      </c>
      <c r="D40" s="142">
        <v>-25050</v>
      </c>
      <c r="E40" s="142">
        <v>-20329</v>
      </c>
      <c r="F40" s="142">
        <v>-14260</v>
      </c>
    </row>
    <row r="41" spans="1:19" x14ac:dyDescent="0.2">
      <c r="A41" s="147" t="s">
        <v>311</v>
      </c>
      <c r="B41" s="142">
        <v>-1700</v>
      </c>
      <c r="C41" s="142">
        <v>-1500</v>
      </c>
      <c r="D41" s="142">
        <v>-1800</v>
      </c>
      <c r="E41" s="142">
        <v>-1200</v>
      </c>
      <c r="F41" s="142">
        <v>-800</v>
      </c>
    </row>
    <row r="42" spans="1:19" x14ac:dyDescent="0.2">
      <c r="A42" s="147" t="s">
        <v>90</v>
      </c>
      <c r="B42" s="142">
        <v>-1500</v>
      </c>
      <c r="C42" s="142">
        <v>-400</v>
      </c>
      <c r="D42" s="142">
        <v>-1700</v>
      </c>
      <c r="E42" s="142">
        <v>-900</v>
      </c>
      <c r="F42" s="142">
        <v>-300</v>
      </c>
    </row>
    <row r="43" spans="1:19" x14ac:dyDescent="0.2">
      <c r="A43" s="147" t="s">
        <v>312</v>
      </c>
      <c r="B43" s="142">
        <v>861</v>
      </c>
      <c r="C43" s="142">
        <v>-353</v>
      </c>
      <c r="D43" s="142">
        <v>7000</v>
      </c>
      <c r="E43" s="142" t="s">
        <v>144</v>
      </c>
      <c r="F43" s="142" t="s">
        <v>144</v>
      </c>
    </row>
    <row r="44" spans="1:19" x14ac:dyDescent="0.2">
      <c r="A44" s="147" t="s">
        <v>156</v>
      </c>
      <c r="B44" s="142">
        <v>-500</v>
      </c>
      <c r="C44" s="142">
        <v>-100</v>
      </c>
      <c r="D44" s="142">
        <v>-200</v>
      </c>
      <c r="E44" s="142">
        <v>-150</v>
      </c>
      <c r="F44" s="142">
        <v>-100</v>
      </c>
    </row>
    <row r="46" spans="1:19" x14ac:dyDescent="0.2">
      <c r="A46" s="276" t="s">
        <v>42</v>
      </c>
      <c r="B46" s="277"/>
      <c r="C46" s="277"/>
      <c r="D46" s="277"/>
      <c r="E46" s="277"/>
      <c r="F46" s="278"/>
      <c r="S46" s="11"/>
    </row>
    <row r="47" spans="1:19" x14ac:dyDescent="0.2">
      <c r="A47" s="284" t="s">
        <v>122</v>
      </c>
      <c r="B47" s="284">
        <v>2024</v>
      </c>
      <c r="C47" s="284">
        <v>2023</v>
      </c>
      <c r="D47" s="284">
        <v>2022</v>
      </c>
      <c r="E47" s="284">
        <v>2021</v>
      </c>
      <c r="F47" s="284">
        <v>2020</v>
      </c>
      <c r="S47" s="11"/>
    </row>
    <row r="48" spans="1:19" x14ac:dyDescent="0.2">
      <c r="A48" s="147" t="s">
        <v>84</v>
      </c>
      <c r="B48" s="142">
        <v>8288</v>
      </c>
      <c r="C48" s="142">
        <v>11471</v>
      </c>
      <c r="D48" s="142">
        <v>15433</v>
      </c>
      <c r="E48" s="142">
        <v>30033</v>
      </c>
      <c r="F48" s="142">
        <v>35391</v>
      </c>
      <c r="S48" s="12"/>
    </row>
    <row r="49" spans="1:19" x14ac:dyDescent="0.2">
      <c r="A49" s="147" t="s">
        <v>158</v>
      </c>
      <c r="B49" s="142">
        <v>-18256</v>
      </c>
      <c r="C49" s="142">
        <v>-24041</v>
      </c>
      <c r="D49" s="142">
        <v>-10231</v>
      </c>
      <c r="E49" s="142">
        <v>-18715</v>
      </c>
      <c r="F49" s="142">
        <v>-14532</v>
      </c>
      <c r="S49" s="12"/>
    </row>
    <row r="50" spans="1:19" x14ac:dyDescent="0.2">
      <c r="A50" s="147" t="s">
        <v>159</v>
      </c>
      <c r="B50" s="142">
        <v>11138</v>
      </c>
      <c r="C50" s="142">
        <v>8505</v>
      </c>
      <c r="D50" s="142">
        <v>1115</v>
      </c>
      <c r="E50" s="142">
        <v>-4390</v>
      </c>
      <c r="F50" s="142">
        <v>-2841</v>
      </c>
      <c r="S50" s="12"/>
    </row>
    <row r="51" spans="1:19" x14ac:dyDescent="0.2">
      <c r="A51" s="147" t="s">
        <v>161</v>
      </c>
      <c r="B51" s="142">
        <v>-9968</v>
      </c>
      <c r="C51" s="142">
        <v>-12570</v>
      </c>
      <c r="D51" s="142">
        <v>5202</v>
      </c>
      <c r="E51" s="142">
        <v>11318</v>
      </c>
      <c r="F51" s="142">
        <v>20859</v>
      </c>
    </row>
    <row r="53" spans="1:19" x14ac:dyDescent="0.2">
      <c r="A53" s="280" t="s">
        <v>313</v>
      </c>
      <c r="B53" s="280"/>
      <c r="C53" s="280"/>
      <c r="D53" s="280"/>
      <c r="E53" s="280"/>
      <c r="F53" s="280"/>
    </row>
    <row r="54" spans="1:19" x14ac:dyDescent="0.2">
      <c r="A54" s="284" t="s">
        <v>314</v>
      </c>
      <c r="B54" s="284">
        <v>2024</v>
      </c>
      <c r="C54" s="284">
        <v>2023</v>
      </c>
      <c r="D54" s="284">
        <v>2022</v>
      </c>
      <c r="E54" s="284">
        <v>2021</v>
      </c>
      <c r="F54" s="284">
        <v>2020</v>
      </c>
    </row>
    <row r="55" spans="1:19" x14ac:dyDescent="0.2">
      <c r="A55" s="151" t="s">
        <v>315</v>
      </c>
      <c r="B55" s="160">
        <v>12817</v>
      </c>
      <c r="C55" s="160">
        <v>15521</v>
      </c>
      <c r="D55" s="160">
        <v>19445</v>
      </c>
      <c r="E55" s="160">
        <v>22774</v>
      </c>
      <c r="F55" s="160">
        <v>23413</v>
      </c>
    </row>
    <row r="56" spans="1:19" x14ac:dyDescent="0.2">
      <c r="A56" s="151" t="s">
        <v>316</v>
      </c>
      <c r="B56" s="160">
        <v>30290</v>
      </c>
      <c r="C56" s="160">
        <v>29258</v>
      </c>
      <c r="D56" s="160">
        <v>31773</v>
      </c>
      <c r="E56" s="160">
        <v>41081</v>
      </c>
      <c r="F56" s="160">
        <v>40535</v>
      </c>
    </row>
    <row r="57" spans="1:19" x14ac:dyDescent="0.2">
      <c r="A57" s="151" t="s">
        <v>317</v>
      </c>
      <c r="B57" s="160">
        <v>5842</v>
      </c>
      <c r="C57" s="160">
        <v>5774</v>
      </c>
      <c r="D57" s="160">
        <v>8409</v>
      </c>
      <c r="E57" s="160">
        <v>7665</v>
      </c>
      <c r="F57" s="160">
        <v>7132</v>
      </c>
    </row>
    <row r="58" spans="1:19" x14ac:dyDescent="0.2">
      <c r="A58" s="151" t="s">
        <v>318</v>
      </c>
      <c r="B58" s="160">
        <v>328</v>
      </c>
      <c r="C58" s="160">
        <v>952</v>
      </c>
      <c r="D58" s="160">
        <v>1869</v>
      </c>
      <c r="E58" s="160">
        <v>347</v>
      </c>
      <c r="F58" s="160">
        <v>715</v>
      </c>
    </row>
    <row r="59" spans="1:19" x14ac:dyDescent="0.2">
      <c r="A59" s="151" t="s">
        <v>319</v>
      </c>
      <c r="B59" s="160">
        <v>3824</v>
      </c>
      <c r="C59" s="160">
        <v>2723</v>
      </c>
      <c r="D59" s="160">
        <v>1558</v>
      </c>
      <c r="E59" s="160">
        <v>7157</v>
      </c>
      <c r="F59" s="160">
        <v>6709</v>
      </c>
    </row>
    <row r="60" spans="1:19" x14ac:dyDescent="0.2">
      <c r="A60" s="151" t="s">
        <v>320</v>
      </c>
      <c r="B60" s="160">
        <f>SUM(B55:B59)</f>
        <v>53101</v>
      </c>
      <c r="C60" s="160">
        <f>SUM(C55:C59)</f>
        <v>54228</v>
      </c>
      <c r="D60" s="160">
        <f>SUM(D55:D59)</f>
        <v>63054</v>
      </c>
      <c r="E60" s="160">
        <f>SUM(E55:E59)</f>
        <v>79024</v>
      </c>
      <c r="F60" s="160">
        <f>SUM(F55:F59)</f>
        <v>78504</v>
      </c>
    </row>
    <row r="62" spans="1:19" x14ac:dyDescent="0.2">
      <c r="A62" s="276" t="s">
        <v>321</v>
      </c>
      <c r="B62" s="277"/>
      <c r="C62" s="277"/>
      <c r="D62" s="277"/>
      <c r="E62" s="277"/>
      <c r="F62" s="279"/>
    </row>
    <row r="63" spans="1:19" x14ac:dyDescent="0.2">
      <c r="A63" s="284"/>
      <c r="B63" s="284">
        <v>2024</v>
      </c>
      <c r="C63" s="284">
        <v>2023</v>
      </c>
      <c r="D63" s="284">
        <v>2022</v>
      </c>
      <c r="E63" s="284">
        <v>2021</v>
      </c>
      <c r="F63" s="284">
        <v>2020</v>
      </c>
    </row>
    <row r="64" spans="1:19" x14ac:dyDescent="0.2">
      <c r="A64" s="147" t="s">
        <v>322</v>
      </c>
      <c r="B64" s="142">
        <v>15532</v>
      </c>
      <c r="C64" s="142">
        <v>14854</v>
      </c>
      <c r="D64" s="142">
        <v>17125</v>
      </c>
      <c r="E64" s="142">
        <v>21141</v>
      </c>
      <c r="F64" s="142">
        <v>20257</v>
      </c>
    </row>
    <row r="65" spans="1:6" x14ac:dyDescent="0.2">
      <c r="A65" s="147" t="s">
        <v>110</v>
      </c>
      <c r="B65" s="142">
        <v>12994</v>
      </c>
      <c r="C65" s="142">
        <v>13958</v>
      </c>
      <c r="D65" s="142">
        <v>16529</v>
      </c>
      <c r="E65" s="142">
        <v>14107</v>
      </c>
      <c r="F65" s="142">
        <v>16573</v>
      </c>
    </row>
    <row r="66" spans="1:6" x14ac:dyDescent="0.2">
      <c r="A66" s="147" t="s">
        <v>170</v>
      </c>
      <c r="B66" s="142">
        <v>10187</v>
      </c>
      <c r="C66" s="142">
        <v>8602</v>
      </c>
      <c r="D66" s="142">
        <v>9664</v>
      </c>
      <c r="E66" s="142">
        <v>14254</v>
      </c>
      <c r="F66" s="142">
        <v>17845</v>
      </c>
    </row>
    <row r="67" spans="1:6" x14ac:dyDescent="0.2">
      <c r="A67" s="147" t="s">
        <v>111</v>
      </c>
      <c r="B67" s="142">
        <v>7804</v>
      </c>
      <c r="C67" s="142">
        <v>6867</v>
      </c>
      <c r="D67" s="142">
        <v>8287</v>
      </c>
      <c r="E67" s="142">
        <v>13461</v>
      </c>
      <c r="F67" s="142">
        <v>11605</v>
      </c>
    </row>
    <row r="68" spans="1:6" x14ac:dyDescent="0.2">
      <c r="A68" s="147" t="s">
        <v>323</v>
      </c>
      <c r="B68" s="142">
        <v>6584</v>
      </c>
      <c r="C68" s="142">
        <v>9947</v>
      </c>
      <c r="D68" s="142">
        <v>11449</v>
      </c>
      <c r="E68" s="142">
        <v>16061</v>
      </c>
      <c r="F68" s="142">
        <v>11587</v>
      </c>
    </row>
    <row r="69" spans="1:6" x14ac:dyDescent="0.2">
      <c r="A69" s="147" t="s">
        <v>324</v>
      </c>
      <c r="B69" s="142">
        <v>53101</v>
      </c>
      <c r="C69" s="142">
        <v>54228</v>
      </c>
      <c r="D69" s="142">
        <v>63054</v>
      </c>
      <c r="E69" s="142">
        <v>79024</v>
      </c>
      <c r="F69" s="142">
        <v>77867</v>
      </c>
    </row>
  </sheetData>
  <mergeCells count="7">
    <mergeCell ref="A1:F1"/>
    <mergeCell ref="A3:F3"/>
    <mergeCell ref="A30:F30"/>
    <mergeCell ref="A38:F38"/>
    <mergeCell ref="A46:F46"/>
    <mergeCell ref="A62:E62"/>
    <mergeCell ref="A53:F53"/>
  </mergeCells>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02BD09028FAE4CBF300DDBAFEC8C10" ma:contentTypeVersion="4" ma:contentTypeDescription="Create a new document." ma:contentTypeScope="" ma:versionID="1354fbb9387af8f67f8affa37a5b5ad6">
  <xsd:schema xmlns:xsd="http://www.w3.org/2001/XMLSchema" xmlns:xs="http://www.w3.org/2001/XMLSchema" xmlns:p="http://schemas.microsoft.com/office/2006/metadata/properties" xmlns:ns3="c7eaabe9-dfdf-4b58-9aae-9b86e2524ea6" targetNamespace="http://schemas.microsoft.com/office/2006/metadata/properties" ma:root="true" ma:fieldsID="e000c38ece37440456e3e7bcbe650206" ns3:_="">
    <xsd:import namespace="c7eaabe9-dfdf-4b58-9aae-9b86e2524ea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eaabe9-dfdf-4b58-9aae-9b86e2524ea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547A3-8AD4-4637-BDCB-79522D5719CF}">
  <ds:schemaRefs>
    <ds:schemaRef ds:uri="http://www.w3.org/XML/1998/namespace"/>
    <ds:schemaRef ds:uri="http://purl.org/dc/terms/"/>
    <ds:schemaRef ds:uri="http://schemas.microsoft.com/office/infopath/2007/PartnerControls"/>
    <ds:schemaRef ds:uri="c7eaabe9-dfdf-4b58-9aae-9b86e2524ea6"/>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2A752E94-41A7-4349-82CE-D6E1B3798B2A}">
  <ds:schemaRefs>
    <ds:schemaRef ds:uri="http://schemas.microsoft.com/sharepoint/v3/contenttype/forms"/>
  </ds:schemaRefs>
</ds:datastoreItem>
</file>

<file path=customXml/itemProps3.xml><?xml version="1.0" encoding="utf-8"?>
<ds:datastoreItem xmlns:ds="http://schemas.openxmlformats.org/officeDocument/2006/customXml" ds:itemID="{71EC1167-2FF8-4D8E-A853-1D06FDD52F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eaabe9-dfdf-4b58-9aae-9b86e2524e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Master Data</vt:lpstr>
      <vt:lpstr>NVIDIA</vt:lpstr>
      <vt:lpstr>AMD</vt:lpstr>
      <vt:lpstr>Qualcomm</vt:lpstr>
      <vt:lpstr>ARM</vt:lpstr>
      <vt:lpstr>TSMC</vt:lpstr>
      <vt:lpstr>Intel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DHARORA, MANAV (PGT)</dc:creator>
  <cp:keywords/>
  <dc:description/>
  <cp:lastModifiedBy>KANNAN, GURUSHARAN (PGT)</cp:lastModifiedBy>
  <cp:revision/>
  <dcterms:created xsi:type="dcterms:W3CDTF">2025-11-11T18:49:05Z</dcterms:created>
  <dcterms:modified xsi:type="dcterms:W3CDTF">2025-11-30T23:53:46Z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0x010100E602BD09028FAE4CBF300DDBAFEC8C10</vt:lpwstr>
  </property>
</Properties>
</file>